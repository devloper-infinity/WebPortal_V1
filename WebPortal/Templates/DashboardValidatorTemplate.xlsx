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defaultThemeVersion="124226"/>
  <xr:revisionPtr revIDLastSave="26" documentId="13_ncr:1_{65D2524A-0B29-43AF-AC94-1D726CF2909E}" xr6:coauthVersionLast="47" xr6:coauthVersionMax="47" xr10:uidLastSave="{EB9555F9-A16E-4C82-943D-664D8C4DEA3D}"/>
  <bookViews>
    <workbookView xWindow="-120" yWindow="-120" windowWidth="21840" windowHeight="13020" tabRatio="784" firstSheet="2" activeTab="10" xr2:uid="{00000000-000D-0000-FFFF-FFFF00000000}"/>
  </bookViews>
  <sheets>
    <sheet name="Worksheet" sheetId="1" r:id="rId1"/>
    <sheet name="Delinquent Taxes" sheetId="2" r:id="rId2"/>
    <sheet name="Tax Lien" sheetId="3" r:id="rId3"/>
    <sheet name="State Tax" sheetId="4" r:id="rId4"/>
    <sheet name="Federal Tax" sheetId="5" r:id="rId5"/>
    <sheet name="Senior Lien" sheetId="6" r:id="rId6"/>
    <sheet name="HOA" sheetId="7" r:id="rId7"/>
    <sheet name="City-Municipal" sheetId="9" r:id="rId8"/>
    <sheet name="Mobile Home" sheetId="12" r:id="rId9"/>
    <sheet name="Title Issue" sheetId="13" r:id="rId10"/>
    <sheet name="Maturity Date" sheetId="16" r:id="rId11"/>
    <sheet name="FC Issues" sheetId="11" r:id="rId12"/>
    <sheet name="Mod Issues" sheetId="17" r:id="rId13"/>
    <sheet name="Origination Issue" sheetId="18" r:id="rId14"/>
    <sheet name="Sheet1" sheetId="14" r:id="rId15"/>
  </sheets>
  <definedNames>
    <definedName name="_xlnm._FilterDatabase" localSheetId="1" hidden="1">'Delinquent Taxes'!$A$1:$I$1</definedName>
    <definedName name="_xlnm._FilterDatabase" localSheetId="4" hidden="1">'Federal Tax'!$A$1:$F$1</definedName>
    <definedName name="_xlnm._FilterDatabase" localSheetId="6" hidden="1">HOA!$A$1:$G$1</definedName>
    <definedName name="_xlnm._FilterDatabase" localSheetId="13" hidden="1">'Origination Issue'!$A$1:$K$1</definedName>
    <definedName name="_xlnm._FilterDatabase" localSheetId="5" hidden="1">'Senior Lien'!$A$1:$D$1</definedName>
    <definedName name="_xlnm._FilterDatabase" localSheetId="3" hidden="1">'State Tax'!$A$1:$F$1</definedName>
    <definedName name="_xlnm._FilterDatabase" localSheetId="9" hidden="1">'Title Issue'!$A$1:$O$1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 i="13" l="1"/>
  <c r="E26" i="6"/>
  <c r="E27" i="6"/>
  <c r="E28" i="6"/>
  <c r="E29" i="6"/>
  <c r="E30" i="6"/>
  <c r="E31" i="6"/>
  <c r="E32" i="6"/>
  <c r="E33" i="6"/>
  <c r="E34" i="6"/>
  <c r="E35" i="6"/>
  <c r="E36" i="6"/>
  <c r="E37" i="6"/>
  <c r="E38" i="6"/>
  <c r="E39" i="6"/>
  <c r="E40" i="6"/>
  <c r="E41" i="6"/>
  <c r="E42" i="6"/>
  <c r="E43" i="6"/>
  <c r="E44" i="6"/>
  <c r="E45" i="6"/>
  <c r="E46" i="6"/>
  <c r="E47" i="6"/>
  <c r="E25" i="6"/>
  <c r="H3" i="2"/>
  <c r="H4" i="2"/>
  <c r="H5" i="2"/>
  <c r="H6" i="2"/>
  <c r="H2" i="2"/>
</calcChain>
</file>

<file path=xl/sharedStrings.xml><?xml version="1.0" encoding="utf-8"?>
<sst xmlns="http://schemas.openxmlformats.org/spreadsheetml/2006/main" count="908" uniqueCount="246">
  <si>
    <t>Delinquent OR Unpaid Taxes</t>
  </si>
  <si>
    <t>Delinquent Tax Amount</t>
  </si>
  <si>
    <t>Good Through</t>
  </si>
  <si>
    <t>Tax Status</t>
  </si>
  <si>
    <t>Tax Notes</t>
  </si>
  <si>
    <t>Investor Loan ID</t>
  </si>
  <si>
    <t xml:space="preserve"> Orig Bal</t>
  </si>
  <si>
    <t>Tax Lien</t>
  </si>
  <si>
    <t>Tax Lien Amount Before Subject</t>
  </si>
  <si>
    <t>Tax Lien Amount After Subject</t>
  </si>
  <si>
    <t>Tax Foreclosure?</t>
  </si>
  <si>
    <t>Tax Mortgages</t>
  </si>
  <si>
    <t>Tax Deed  in chain New</t>
  </si>
  <si>
    <t>State Tax Lien</t>
  </si>
  <si>
    <t>State Tax Lien Amount Before Subject</t>
  </si>
  <si>
    <t>State Tax Lien Amount After Subject</t>
  </si>
  <si>
    <t>Federal Tax Lien</t>
  </si>
  <si>
    <t>Federal Tax Lien Amount Before Subject</t>
  </si>
  <si>
    <t>Federal Tax Lien Amount After Subject</t>
  </si>
  <si>
    <t>State</t>
  </si>
  <si>
    <t>Senior Mortgage Count</t>
  </si>
  <si>
    <t>Total Senior Mortgage Amount</t>
  </si>
  <si>
    <t>HOA Lien Exists</t>
  </si>
  <si>
    <t>HOA Lien Amount Before Subject</t>
  </si>
  <si>
    <t>HOA Lien Amount After Subject</t>
  </si>
  <si>
    <t>Water Sewer  Utilities Lien Exists</t>
  </si>
  <si>
    <t>Water Sewer  Utilities Lien Amount Before Subject</t>
  </si>
  <si>
    <t>Water Sewer Utilities Lien Amount After Subject</t>
  </si>
  <si>
    <t>City Muni Assessment Lien Exists</t>
  </si>
  <si>
    <t>City Muni Assessment Lien Amount Before Subject</t>
  </si>
  <si>
    <t>City Muni Assessment Lien Amount After Subject</t>
  </si>
  <si>
    <t>Code Enforcement lien?</t>
  </si>
  <si>
    <t>Code Enforcement Lien amount Before</t>
  </si>
  <si>
    <t>Code Enforcement Lien amount After</t>
  </si>
  <si>
    <t>Mobile Home Present</t>
  </si>
  <si>
    <t>Issue Description</t>
  </si>
  <si>
    <t>Curative Action</t>
  </si>
  <si>
    <t>Status</t>
  </si>
  <si>
    <t>Potential for Tax Cert Investor paying taxes</t>
  </si>
  <si>
    <t>Subject Mortgage Lien Position</t>
  </si>
  <si>
    <t>HOA Foreclosure Y/N</t>
  </si>
  <si>
    <t>HOA Liens</t>
  </si>
  <si>
    <t>Subject Mortgage Foreclosed</t>
  </si>
  <si>
    <t>Slot 1</t>
  </si>
  <si>
    <t>Date</t>
  </si>
  <si>
    <t>Interim 1</t>
  </si>
  <si>
    <t>Pending</t>
  </si>
  <si>
    <t>Risk</t>
  </si>
  <si>
    <t>IL</t>
  </si>
  <si>
    <t>MD</t>
  </si>
  <si>
    <t>NJ</t>
  </si>
  <si>
    <t>TN</t>
  </si>
  <si>
    <t>AL</t>
  </si>
  <si>
    <t>MO</t>
  </si>
  <si>
    <t>CT</t>
  </si>
  <si>
    <t>MN</t>
  </si>
  <si>
    <t>WA</t>
  </si>
  <si>
    <t>MA</t>
  </si>
  <si>
    <t>FL</t>
  </si>
  <si>
    <t>NV</t>
  </si>
  <si>
    <t>CO</t>
  </si>
  <si>
    <t>Post-origination MTG Issues</t>
  </si>
  <si>
    <t>AK</t>
  </si>
  <si>
    <t>DE</t>
  </si>
  <si>
    <t>HI</t>
  </si>
  <si>
    <t>VT</t>
  </si>
  <si>
    <t>WV</t>
  </si>
  <si>
    <t>RI</t>
  </si>
  <si>
    <t>NH</t>
  </si>
  <si>
    <t>OR</t>
  </si>
  <si>
    <t>PA</t>
  </si>
  <si>
    <t>TX</t>
  </si>
  <si>
    <t>CA</t>
  </si>
  <si>
    <t>Municipal Liens Count</t>
  </si>
  <si>
    <t>Property Tax Liens Count</t>
  </si>
  <si>
    <t>Subject Mortgage Maturity Date</t>
  </si>
  <si>
    <t>Foreclosure Filed for Subject Mortgage</t>
  </si>
  <si>
    <t>Subject Mortgage Modified</t>
  </si>
  <si>
    <t>Prior Lien FC Y/N</t>
  </si>
  <si>
    <t>Total Lien Amount Surviving Foreclosure Before Subject</t>
  </si>
  <si>
    <t>Total Lien Amount Surviving Foreclosure After Subject</t>
  </si>
  <si>
    <t>Prior Lien Release Required</t>
  </si>
  <si>
    <t>Severe Defects</t>
  </si>
  <si>
    <t>Mortgage Origination Defects</t>
  </si>
  <si>
    <t>Legal Description Mis-Match</t>
  </si>
  <si>
    <t>Non-MTG Liens Capable of FC or Code Enforcement, Demo Alert</t>
  </si>
  <si>
    <t>Vesting Issues, Life Estate, Owners</t>
  </si>
  <si>
    <t>Mobile Home Defects</t>
  </si>
  <si>
    <t>Township Search Status (Township Level)</t>
  </si>
  <si>
    <t>Township Search Pass/Fail</t>
  </si>
  <si>
    <t>Municipal Liens</t>
  </si>
  <si>
    <t>Municipal Liens Total Amount</t>
  </si>
  <si>
    <t>Municipal Lien Good through Date</t>
  </si>
  <si>
    <t>Code Enforcement &amp; Permit Violations</t>
  </si>
  <si>
    <t>Violations Total Amount</t>
  </si>
  <si>
    <t>Violations Good through Date</t>
  </si>
  <si>
    <t>Scheduled for Demolition?</t>
  </si>
  <si>
    <t>Demolition Date</t>
  </si>
  <si>
    <t>Demolition Comments</t>
  </si>
  <si>
    <t>Tax Sale Scheduled?</t>
  </si>
  <si>
    <t>Tax Sale Date</t>
  </si>
  <si>
    <t>Tax Sale Redemption Amt</t>
  </si>
  <si>
    <t xml:space="preserve">Last Last Date to Redeem to cancel Tax Sale </t>
  </si>
  <si>
    <t>Redemption Process</t>
  </si>
  <si>
    <t>Total Tax Amount including Delinquent Taxes</t>
  </si>
  <si>
    <t>Additional Tax Notes</t>
  </si>
  <si>
    <t>Special Assessments</t>
  </si>
  <si>
    <t>Vacant Property Registration</t>
  </si>
  <si>
    <t xml:space="preserve">VPR Total Amount </t>
  </si>
  <si>
    <t>VPR Good through date</t>
  </si>
  <si>
    <t>Water/Sewer Search Status</t>
  </si>
  <si>
    <t>Water/Sewer Pass/Fail</t>
  </si>
  <si>
    <t>Water Shut Off Status</t>
  </si>
  <si>
    <t>Water Status</t>
  </si>
  <si>
    <t>Sewer Status</t>
  </si>
  <si>
    <t>Additional Information Obtained</t>
  </si>
  <si>
    <t>Subject mortgage in first position?</t>
  </si>
  <si>
    <t>DataTape Integrity Issues</t>
  </si>
  <si>
    <t>Code</t>
  </si>
  <si>
    <t>Assignment Defects/ Breaks</t>
  </si>
  <si>
    <t>Reverse Mortgage Specific</t>
  </si>
  <si>
    <t>TPOL Sch B</t>
  </si>
  <si>
    <t>Tax Status (Township Search Recheck)</t>
  </si>
  <si>
    <t>Total Amount Owed  (Water)</t>
  </si>
  <si>
    <t>Good through date  (Water)</t>
  </si>
  <si>
    <t>Total Amount Owed (Sewer)</t>
  </si>
  <si>
    <t>Good through date (Sewer)</t>
  </si>
  <si>
    <t>Junior Mortgages Count</t>
  </si>
  <si>
    <t>Total Junior Mortgage Amount</t>
  </si>
  <si>
    <t>LP Filing Dates</t>
  </si>
  <si>
    <t>Fail</t>
  </si>
  <si>
    <t>Delinquent</t>
  </si>
  <si>
    <t>THERE ARE NO DUE/DELINQUENT SUPPLEMENTAL TAXES._x000D_
_x000D_
Prior taxes paid.</t>
  </si>
  <si>
    <t>1. 2027 Tax 3rd and 4th Quarter not yet Generated._x000D_
2. There Is No Utility Tax on This Property "B: 33 L: 5"._x000D_
_x000D_
Upon review, there are no active tax sales, Certificates of Sale, tax liens, or prior-year delinquent taxes associated with this property</t>
  </si>
  <si>
    <t>1. 2027 Tax 3rd and 4th Quarter not yet Generated._x000D_
2. All Prior Taxes are Paid.</t>
  </si>
  <si>
    <t>1. 2027 Tax 3rd and 4th Quarter not yet Generated.</t>
  </si>
  <si>
    <t>N</t>
  </si>
  <si>
    <t>Pass</t>
  </si>
  <si>
    <t>$ -</t>
  </si>
  <si>
    <t>AR</t>
  </si>
  <si>
    <t>Y</t>
  </si>
  <si>
    <t>NY</t>
  </si>
  <si>
    <t>Very Low</t>
  </si>
  <si>
    <t>Non-Issue - NINDM: Non-Material Deed Matters.
"Jeanine Mateo, managing member" signing on behalf of "Geewiz Properties, LLC".</t>
  </si>
  <si>
    <t>DataTape Integrity - DTI-MTG: Date or Amt is inaccurate or wrong on DATATAPE.
Please see Title Exam section for Mortgage related issue.</t>
  </si>
  <si>
    <t>Medium</t>
  </si>
  <si>
    <t>Informational -  INTPT: Transfers to a Third Party (Private, LLC, etc.) BY THE BORROWER.</t>
  </si>
  <si>
    <t>NONMTGLN: Possible senior non-mortgage lien recorded.
Delinquent utility taxes present.</t>
  </si>
  <si>
    <t>High</t>
  </si>
  <si>
    <t>Severe - SDSAT: Subject Mortgage Satisfaction found.
Please see Title Exam section for Mortgage related issue.</t>
  </si>
  <si>
    <t>Informational -  INCOP: Property is a unit in a CO-OP.
DataTape Integrity - DTI-MTG: Date or Amt is inaccurate or wrong on DATATAPE.
Please see Title Exam section for Mortgage related issue.</t>
  </si>
  <si>
    <t>-</t>
  </si>
  <si>
    <t>Severe Defect - SDOTH: Other - Found a junior mortgage with the same or greater amount.</t>
  </si>
  <si>
    <t>Please see Title Exam section for Mortgage related issue.</t>
  </si>
  <si>
    <t>NONMTGLN: Possible senior non-mortgage lien recorded.
HOA Lien
Severe Defect - SDOTH: Other - Found a junior mortgage with the same or greater amount.</t>
  </si>
  <si>
    <t>CODEENF: Code Enforcement Liens, Unsafe Living Condition, Permit Violations, Environmental Liens.</t>
  </si>
  <si>
    <t>DataTape Integrity - DTI-ADD: Address of the property is inaccurate or wrong on DATATAPE.
property assessed as "3393 TALISMAN Dr"</t>
  </si>
  <si>
    <t>Non-Issue - NIFLT: Inter-Family Deed or Transfers into Land Trusts, by the Borrower.</t>
  </si>
  <si>
    <t>Non-Issue - NINDM: Non-Material Deed Matters.
corrective deed filed after the subject mortgage</t>
  </si>
  <si>
    <t>DataTape Integrity - DTI-MTG: Date or Amt is inaccurate or wrong on DATATAPE.
Please see Title Exam section for Mortgage related issue.
Severe Defect - SDOTH: Other - Found a junior mortgage with the same or greater amount.</t>
  </si>
  <si>
    <t>DataTape Integrity - DTI-ADD: Address of the property is inaccurate or wrong on DATATAPE.
Property assessed as "1313 Stamps St "</t>
  </si>
  <si>
    <t>Non-Issue - NINDM: Non-Material Deed Matters.
Corrective deed recorded after the subject mortgage</t>
  </si>
  <si>
    <t>Non-Issue - NINDM: Non-Material Deed Matters.
DANIELLE ALLEN AKA DANIELLE BALIONE</t>
  </si>
  <si>
    <t>NINDM</t>
  </si>
  <si>
    <t>N/A</t>
  </si>
  <si>
    <t>No action required</t>
  </si>
  <si>
    <t>DTI-MTG;MTG-SBJ</t>
  </si>
  <si>
    <t>Verify this error with the seller or by review of colleteral; Adjust ROI and Financial Modeling on asset;
Verify this error with the seller or by review of colleteral; Adjust ROI and Financial Modeling on asset;</t>
  </si>
  <si>
    <t>INTPT;TAXLIEN</t>
  </si>
  <si>
    <t>FYI: Make sure to name all new paries in foreclosure case, if any;
Verify the time line for Tax Deed Application based on recording date of the Tax Lien, goal to make sure you have enough time to redeem;</t>
  </si>
  <si>
    <t>NONMTGLN;TAXLIEN</t>
  </si>
  <si>
    <t>Title Exam Review concluded that non-mortgage lien against the property has a power to foreclose out of position;
Verify the time line for Tax Deed Application based on recording date of the Tax Lien, goal to make sure you have enough time to redeem;</t>
  </si>
  <si>
    <t>SDSAT;MTG-SATR</t>
  </si>
  <si>
    <t xml:space="preserve">If used for loan purchase transaction, check if Rescission of Satisfaction can be recorded, otherwide kick back the asset;
Verify the parties signing the Satisfaction; Kick back the asset if satisfaction is valid and no option to cancel the document; </t>
  </si>
  <si>
    <t>INCOP;DTI-MTG;MTG-SBJ</t>
  </si>
  <si>
    <t>FYI: Verify that UCC is recorded in the county records as well as UCC Assignment into seller
Verify this error with the seller or by review of colleteral; Adjust ROI and Financial Modeling on asset;
Verify this error with the seller or by review of colleteral; Adjust ROI and Financial Modeling on asset;</t>
  </si>
  <si>
    <t>SDOTH</t>
  </si>
  <si>
    <t>From examinor:  Defect that requires additional research ''</t>
  </si>
  <si>
    <t>MTG-SBJ</t>
  </si>
  <si>
    <t>Verify this error with the seller or by review of colleteral; Adjust ROI and Financial Modeling on asset;</t>
  </si>
  <si>
    <t>NONMTGLN;SDOTH</t>
  </si>
  <si>
    <t>Title Exam Review concluded that non-mortgage lien against the property has a power to foreclose out of position;
From examinor:  Defect that requires additional research 'HOA Lien'</t>
  </si>
  <si>
    <t>TAXLIEN</t>
  </si>
  <si>
    <t>Verify the time line for Tax Deed Application based on recording date of the Tax Lien, goal to make sure you have enough time to redeem;</t>
  </si>
  <si>
    <t>CODEENF;CODE</t>
  </si>
  <si>
    <t>Property has code violation liens that may or may not carry the fine or correction cost; Please, verify with township the amount of repairs required to bring to code, if not repairable, consider kicking back
Property has code violation liens that may or may not carry the fine or correction cost; Please, verify with township the amount of repairs required to bring to code, if not repairable, consider kicking back</t>
  </si>
  <si>
    <t>DTI-ADD</t>
  </si>
  <si>
    <t>Verify that BPO is done on correct address</t>
  </si>
  <si>
    <t>NIFLT</t>
  </si>
  <si>
    <t>DTI-MTG;MTG-SBJ;SDOTH</t>
  </si>
  <si>
    <t>Verify this error with the seller or by review of colleteral; Adjust ROI and Financial Modeling on asset;
Verify this error with the seller or by review of colleteral; Adjust ROI and Financial Modeling on asset;
From examinor:  Defect that requires additional research ''</t>
  </si>
  <si>
    <t>Loan ID</t>
  </si>
  <si>
    <t xml:space="preserve">SSQC </t>
  </si>
  <si>
    <t>Deal #</t>
  </si>
  <si>
    <t>SSReview</t>
  </si>
  <si>
    <t>Adora Franklin</t>
  </si>
  <si>
    <t>561-4755</t>
  </si>
  <si>
    <t>Adrian Cross</t>
  </si>
  <si>
    <t>Davis Spencer</t>
  </si>
  <si>
    <t>Myra Daines</t>
  </si>
  <si>
    <t>Kyrie Irving</t>
  </si>
  <si>
    <t>Selena Delgado</t>
  </si>
  <si>
    <t>Sophia Evans</t>
  </si>
  <si>
    <t>Walter White</t>
  </si>
  <si>
    <t>Alan James</t>
  </si>
  <si>
    <t>Peter Donaldson</t>
  </si>
  <si>
    <t>Stella Hawkins</t>
  </si>
  <si>
    <t>Stoney Siebert</t>
  </si>
  <si>
    <t>Trapper Poulin</t>
  </si>
  <si>
    <t>Sabrina Spencer</t>
  </si>
  <si>
    <t>Rovena Waffers</t>
  </si>
  <si>
    <t>Kate Stevens</t>
  </si>
  <si>
    <t>Alice Marsh</t>
  </si>
  <si>
    <t>Sara Diaz</t>
  </si>
  <si>
    <t>Alison Backer</t>
  </si>
  <si>
    <t>Elina Gilbert</t>
  </si>
  <si>
    <t>Garry William</t>
  </si>
  <si>
    <t>Rickey Goodwin</t>
  </si>
  <si>
    <t>Kevin Gray</t>
  </si>
  <si>
    <t>Vanesa Tomes</t>
  </si>
  <si>
    <t>Haley May</t>
  </si>
  <si>
    <t>Phyllis Westberry</t>
  </si>
  <si>
    <t>Preston Gordon</t>
  </si>
  <si>
    <t>Neo Ryse</t>
  </si>
  <si>
    <t>Nicole Reyes</t>
  </si>
  <si>
    <t>Renee Walker</t>
  </si>
  <si>
    <t>Jean Wankel</t>
  </si>
  <si>
    <t>Bryan Reynolds</t>
  </si>
  <si>
    <t>Priscilla Stewart</t>
  </si>
  <si>
    <t>Alwin Baily</t>
  </si>
  <si>
    <t>Samantha Schieman</t>
  </si>
  <si>
    <t>David Kingsman</t>
  </si>
  <si>
    <t>Skylar Hunt</t>
  </si>
  <si>
    <t>Priscilla Allen</t>
  </si>
  <si>
    <t>Dora Marvel</t>
  </si>
  <si>
    <t xml:space="preserve">Samara Darcy </t>
  </si>
  <si>
    <t xml:space="preserve">Hazel Matthews </t>
  </si>
  <si>
    <t>Pamela Glass</t>
  </si>
  <si>
    <t>Julian archer</t>
  </si>
  <si>
    <t>Remark</t>
  </si>
  <si>
    <t>Qcer</t>
  </si>
  <si>
    <t>Check and raise an excpetion for junior lien amount greater than subject.</t>
  </si>
  <si>
    <t>Red Flag</t>
  </si>
  <si>
    <t>FAIL</t>
  </si>
  <si>
    <t>Completed</t>
  </si>
  <si>
    <t>Data with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</si>
</sst>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quot;$&quot;#,##0.00"/>
    <numFmt numFmtId="166" formatCode="[$$-409]#,##0.00"/>
  </numFmts>
  <fonts count="30"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11"/>
      <color theme="1"/>
      <name val="Calibri"/>
      <family val="2"/>
      <scheme val="minor"/>
    </font>
    <font>
      <sz val="10"/>
      <color rgb="FFFF0000"/>
      <name val="Calibri"/>
      <family val="2"/>
      <scheme val="minor"/>
    </font>
    <font>
      <b/>
      <sz val="11"/>
      <name val="Calibri"/>
      <family val="2"/>
    </font>
    <font>
      <b/>
      <sz val="10"/>
      <name val="Calibri"/>
      <family val="2"/>
    </font>
    <font>
      <b/>
      <sz val="9"/>
      <color rgb="FFFFFFFF"/>
      <name val="Calibri"/>
      <family val="2"/>
    </font>
    <font>
      <sz val="9"/>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8"/>
      <color indexed="8"/>
      <name val="Arial"/>
      <family val="2"/>
    </font>
    <font>
      <b/>
      <sz val="16"/>
      <name val="Arial"/>
      <family val="2"/>
    </font>
    <font>
      <b/>
      <sz val="10"/>
      <name val="Arial"/>
      <family val="2"/>
    </font>
    <font>
      <b/>
      <sz val="9"/>
      <name val="Arial"/>
      <family val="2"/>
    </font>
    <font>
      <sz val="10"/>
      <color indexed="8"/>
      <name val="Arial"/>
      <family val="2"/>
    </font>
  </fonts>
  <fills count="43">
    <fill>
      <patternFill patternType="none"/>
    </fill>
    <fill>
      <patternFill patternType="gray125"/>
    </fill>
    <fill>
      <patternFill patternType="solid">
        <fgColor rgb="FF92D05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7" tint="0.39997558519241921"/>
        <bgColor theme="4"/>
      </patternFill>
    </fill>
    <fill>
      <patternFill patternType="solid">
        <fgColor rgb="FFFFC000"/>
        <bgColor theme="4"/>
      </patternFill>
    </fill>
    <fill>
      <patternFill patternType="solid">
        <fgColor rgb="FF1F386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BFBFBF"/>
        <bgColor indexed="64"/>
      </patternFill>
    </fill>
  </fills>
  <borders count="24">
    <border>
      <left/>
      <right/>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50">
    <xf numFmtId="0" fontId="0" fillId="0" borderId="0"/>
    <xf numFmtId="164" fontId="1" fillId="0" borderId="0" applyFont="0" applyFill="0" applyBorder="0" applyAlignment="0" applyProtection="0"/>
    <xf numFmtId="0" fontId="10" fillId="0" borderId="0" applyNumberFormat="0" applyFill="0" applyBorder="0" applyAlignment="0" applyProtection="0"/>
    <xf numFmtId="0" fontId="11" fillId="0" borderId="11" applyNumberFormat="0" applyFill="0" applyAlignment="0" applyProtection="0"/>
    <xf numFmtId="0" fontId="12" fillId="0" borderId="12" applyNumberFormat="0" applyFill="0" applyAlignment="0" applyProtection="0"/>
    <xf numFmtId="0" fontId="13" fillId="0" borderId="13" applyNumberFormat="0" applyFill="0" applyAlignment="0" applyProtection="0"/>
    <xf numFmtId="0" fontId="13" fillId="0" borderId="0" applyNumberFormat="0" applyFill="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0" applyNumberFormat="0" applyBorder="0" applyAlignment="0" applyProtection="0"/>
    <xf numFmtId="0" fontId="17" fillId="12" borderId="14" applyNumberFormat="0" applyAlignment="0" applyProtection="0"/>
    <xf numFmtId="0" fontId="18" fillId="13" borderId="15" applyNumberFormat="0" applyAlignment="0" applyProtection="0"/>
    <xf numFmtId="0" fontId="19" fillId="13" borderId="14" applyNumberFormat="0" applyAlignment="0" applyProtection="0"/>
    <xf numFmtId="0" fontId="20" fillId="0" borderId="16" applyNumberFormat="0" applyFill="0" applyAlignment="0" applyProtection="0"/>
    <xf numFmtId="0" fontId="21" fillId="14" borderId="17" applyNumberFormat="0" applyAlignment="0" applyProtection="0"/>
    <xf numFmtId="0" fontId="22" fillId="0" borderId="0" applyNumberFormat="0" applyFill="0" applyBorder="0" applyAlignment="0" applyProtection="0"/>
    <xf numFmtId="0" fontId="1" fillId="15" borderId="18" applyNumberFormat="0" applyFont="0" applyAlignment="0" applyProtection="0"/>
    <xf numFmtId="0" fontId="23" fillId="0" borderId="0" applyNumberFormat="0" applyFill="0" applyBorder="0" applyAlignment="0" applyProtection="0"/>
    <xf numFmtId="0" fontId="4" fillId="0" borderId="19" applyNumberFormat="0" applyFill="0" applyAlignment="0" applyProtection="0"/>
    <xf numFmtId="0" fontId="24"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4"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4"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4"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4"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4"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5" fillId="0" borderId="0" applyBorder="0">
      <alignment horizontal="left" vertical="top" wrapText="1"/>
    </xf>
    <xf numFmtId="0" fontId="26" fillId="41" borderId="6" applyNumberFormat="0" applyProtection="0">
      <alignment horizontal="center" vertical="center" wrapText="1"/>
    </xf>
    <xf numFmtId="0" fontId="27" fillId="42" borderId="6" applyNumberFormat="0" applyProtection="0">
      <alignment horizontal="center" vertical="center" wrapText="1"/>
    </xf>
    <xf numFmtId="0" fontId="27" fillId="41" borderId="6" applyNumberFormat="0" applyProtection="0">
      <alignment horizontal="center" vertical="center" wrapText="1"/>
    </xf>
    <xf numFmtId="0" fontId="25" fillId="0" borderId="0" applyBorder="0">
      <alignment horizontal="left" vertical="center" wrapText="1"/>
    </xf>
    <xf numFmtId="166" fontId="25" fillId="0" borderId="0" applyBorder="0">
      <alignment horizontal="right" vertical="top" wrapText="1"/>
    </xf>
    <xf numFmtId="0" fontId="28" fillId="40" borderId="22">
      <alignment horizontal="left" vertical="center"/>
    </xf>
  </cellStyleXfs>
  <cellXfs count="81">
    <xf numFmtId="0" fontId="0" fillId="0" borderId="0" xfId="0"/>
    <xf numFmtId="0" fontId="3" fillId="0" borderId="0" xfId="0" applyFont="1"/>
    <xf numFmtId="0" fontId="2" fillId="2" borderId="1" xfId="0" applyFont="1" applyFill="1" applyBorder="1" applyAlignment="1">
      <alignment horizontal="center" vertical="center" wrapText="1"/>
    </xf>
    <xf numFmtId="0" fontId="0" fillId="0" borderId="0" xfId="0" applyAlignment="1">
      <alignment horizontal="center"/>
    </xf>
    <xf numFmtId="0" fontId="2" fillId="4"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64" fontId="2" fillId="2" borderId="4" xfId="1" applyFont="1" applyFill="1" applyBorder="1" applyAlignment="1">
      <alignment horizontal="center" vertical="center" wrapText="1"/>
    </xf>
    <xf numFmtId="164" fontId="2" fillId="2" borderId="5" xfId="1"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0" borderId="0" xfId="0" applyAlignment="1">
      <alignment wrapText="1"/>
    </xf>
    <xf numFmtId="0" fontId="2" fillId="5" borderId="4"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3" fillId="0" borderId="2" xfId="0" applyFont="1" applyBorder="1" applyAlignment="1">
      <alignment horizontal="center" vertical="center"/>
    </xf>
    <xf numFmtId="0" fontId="4" fillId="2" borderId="4" xfId="0" applyFont="1" applyFill="1" applyBorder="1" applyAlignment="1">
      <alignment horizontal="center" vertical="center" wrapText="1"/>
    </xf>
    <xf numFmtId="0" fontId="3" fillId="0" borderId="6" xfId="0" applyFont="1" applyBorder="1" applyAlignment="1">
      <alignment horizontal="center"/>
    </xf>
    <xf numFmtId="164" fontId="3" fillId="0" borderId="6" xfId="1" applyFont="1" applyFill="1" applyBorder="1" applyAlignment="1">
      <alignment horizontal="center"/>
    </xf>
    <xf numFmtId="14" fontId="2" fillId="2" borderId="4" xfId="1" applyNumberFormat="1" applyFont="1" applyFill="1" applyBorder="1" applyAlignment="1">
      <alignment horizontal="center" vertical="center" wrapText="1"/>
    </xf>
    <xf numFmtId="14" fontId="2" fillId="3" borderId="4" xfId="0" applyNumberFormat="1" applyFont="1" applyFill="1" applyBorder="1" applyAlignment="1">
      <alignment horizontal="center" vertical="center" wrapText="1"/>
    </xf>
    <xf numFmtId="164" fontId="2" fillId="4" borderId="4" xfId="1" applyFont="1" applyFill="1" applyBorder="1" applyAlignment="1">
      <alignment horizontal="center" vertical="center" wrapText="1"/>
    </xf>
    <xf numFmtId="0" fontId="3" fillId="0" borderId="6" xfId="0" applyFont="1" applyBorder="1" applyAlignment="1">
      <alignment horizontal="center" wrapText="1"/>
    </xf>
    <xf numFmtId="0" fontId="2" fillId="2" borderId="4" xfId="1" applyNumberFormat="1" applyFont="1" applyFill="1" applyBorder="1" applyAlignment="1">
      <alignment horizontal="center" vertical="center" wrapText="1"/>
    </xf>
    <xf numFmtId="0" fontId="3" fillId="0" borderId="0" xfId="0" applyFont="1" applyAlignment="1">
      <alignment horizontal="center" vertical="center"/>
    </xf>
    <xf numFmtId="0" fontId="2" fillId="0" borderId="6" xfId="0" applyFont="1" applyBorder="1" applyAlignment="1">
      <alignment horizontal="center" vertical="center" wrapText="1"/>
    </xf>
    <xf numFmtId="164" fontId="2" fillId="0" borderId="6" xfId="1" applyFont="1" applyFill="1" applyBorder="1" applyAlignment="1">
      <alignment horizontal="center" vertical="center" wrapText="1"/>
    </xf>
    <xf numFmtId="0" fontId="5" fillId="2" borderId="0" xfId="0" applyFont="1" applyFill="1" applyAlignment="1">
      <alignment horizontal="center" vertical="center"/>
    </xf>
    <xf numFmtId="1" fontId="6" fillId="6" borderId="1"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164" fontId="2" fillId="2" borderId="6" xfId="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6" xfId="0" applyFont="1" applyFill="1" applyBorder="1" applyAlignment="1">
      <alignment horizontal="center" vertical="center" wrapText="1"/>
    </xf>
    <xf numFmtId="14" fontId="7" fillId="6" borderId="1"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wrapText="1"/>
    </xf>
    <xf numFmtId="1" fontId="6" fillId="6" borderId="5" xfId="0" applyNumberFormat="1" applyFont="1" applyFill="1" applyBorder="1" applyAlignment="1">
      <alignment horizontal="center" vertical="center" wrapText="1"/>
    </xf>
    <xf numFmtId="1" fontId="7" fillId="6" borderId="4" xfId="0" applyNumberFormat="1" applyFont="1" applyFill="1" applyBorder="1" applyAlignment="1">
      <alignment horizontal="center" vertical="center" wrapText="1"/>
    </xf>
    <xf numFmtId="0" fontId="2" fillId="5" borderId="5" xfId="0" applyFont="1" applyFill="1" applyBorder="1" applyAlignment="1">
      <alignment horizontal="center" vertical="center" wrapText="1"/>
    </xf>
    <xf numFmtId="0" fontId="7" fillId="7" borderId="6" xfId="0" applyFont="1" applyFill="1" applyBorder="1" applyAlignment="1">
      <alignment horizontal="center" vertical="center" wrapText="1"/>
    </xf>
    <xf numFmtId="165" fontId="7" fillId="7" borderId="6" xfId="1" applyNumberFormat="1" applyFont="1" applyFill="1" applyBorder="1" applyAlignment="1">
      <alignment horizontal="center" vertical="center" wrapText="1"/>
    </xf>
    <xf numFmtId="14" fontId="7" fillId="7" borderId="6" xfId="0" applyNumberFormat="1" applyFont="1" applyFill="1" applyBorder="1" applyAlignment="1">
      <alignment horizontal="center" vertical="center" wrapText="1"/>
    </xf>
    <xf numFmtId="165" fontId="7" fillId="7" borderId="6" xfId="0" applyNumberFormat="1" applyFont="1" applyFill="1" applyBorder="1" applyAlignment="1">
      <alignment horizontal="center" vertical="center" wrapText="1"/>
    </xf>
    <xf numFmtId="164" fontId="7" fillId="7" borderId="6" xfId="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64" fontId="2" fillId="2" borderId="1" xfId="1" applyFont="1" applyFill="1" applyBorder="1" applyAlignment="1">
      <alignment horizontal="center" vertical="center" wrapText="1"/>
    </xf>
    <xf numFmtId="164" fontId="2" fillId="4" borderId="1" xfId="1" applyFont="1" applyFill="1" applyBorder="1" applyAlignment="1">
      <alignment horizontal="center" vertical="center" wrapText="1"/>
    </xf>
    <xf numFmtId="0" fontId="0" fillId="0" borderId="6" xfId="0" applyBorder="1" applyAlignment="1">
      <alignment horizontal="center" vertical="center"/>
    </xf>
    <xf numFmtId="164" fontId="0" fillId="0" borderId="6" xfId="1" applyFont="1" applyFill="1" applyBorder="1" applyAlignment="1">
      <alignment horizontal="center" vertical="center"/>
    </xf>
    <xf numFmtId="14" fontId="0" fillId="0" borderId="6" xfId="1" applyNumberFormat="1" applyFont="1" applyFill="1" applyBorder="1" applyAlignment="1">
      <alignment horizontal="center" vertical="center"/>
    </xf>
    <xf numFmtId="1" fontId="0" fillId="0" borderId="6" xfId="0" applyNumberFormat="1" applyBorder="1" applyAlignment="1">
      <alignment horizontal="center" vertical="center"/>
    </xf>
    <xf numFmtId="0" fontId="0" fillId="0" borderId="6" xfId="1" applyNumberFormat="1" applyFont="1" applyFill="1" applyBorder="1" applyAlignment="1">
      <alignment horizontal="center" vertical="center"/>
    </xf>
    <xf numFmtId="0" fontId="0" fillId="0" borderId="6" xfId="0" applyBorder="1" applyAlignment="1">
      <alignment horizontal="center" vertical="center" wrapText="1"/>
    </xf>
    <xf numFmtId="14" fontId="0" fillId="0" borderId="6" xfId="0" applyNumberFormat="1" applyBorder="1" applyAlignment="1">
      <alignment horizontal="center" vertical="center"/>
    </xf>
    <xf numFmtId="0" fontId="8" fillId="8" borderId="8" xfId="0" applyFont="1" applyFill="1" applyBorder="1" applyAlignment="1">
      <alignment horizontal="center" vertical="center"/>
    </xf>
    <xf numFmtId="0" fontId="8" fillId="8" borderId="2" xfId="0"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4" borderId="9" xfId="0" applyFont="1" applyFill="1" applyBorder="1" applyAlignment="1">
      <alignment horizontal="center" vertical="center"/>
    </xf>
    <xf numFmtId="0" fontId="0" fillId="2" borderId="6" xfId="0" applyFill="1" applyBorder="1" applyAlignment="1">
      <alignment horizontal="center" vertical="center"/>
    </xf>
    <xf numFmtId="0" fontId="3" fillId="0" borderId="20" xfId="0" applyFont="1" applyBorder="1" applyAlignment="1">
      <alignment horizontal="center"/>
    </xf>
    <xf numFmtId="0" fontId="3" fillId="0" borderId="21" xfId="0" applyFont="1" applyBorder="1" applyAlignment="1">
      <alignment horizontal="center"/>
    </xf>
    <xf numFmtId="164" fontId="3" fillId="0" borderId="21" xfId="1" applyFont="1" applyFill="1" applyBorder="1" applyAlignment="1">
      <alignment horizontal="center"/>
    </xf>
    <xf numFmtId="0" fontId="3" fillId="0" borderId="21" xfId="0" applyFont="1" applyBorder="1" applyAlignment="1">
      <alignment horizontal="center" wrapText="1"/>
    </xf>
    <xf numFmtId="0" fontId="2" fillId="2" borderId="6" xfId="1" applyNumberFormat="1" applyFont="1" applyFill="1" applyBorder="1" applyAlignment="1">
      <alignment horizontal="center" vertical="center" wrapText="1"/>
    </xf>
    <xf numFmtId="164" fontId="3" fillId="0" borderId="6" xfId="1" applyFont="1" applyFill="1" applyBorder="1" applyAlignment="1">
      <alignment horizontal="center" vertical="center" wrapText="1"/>
    </xf>
    <xf numFmtId="0" fontId="9" fillId="0" borderId="6" xfId="0" applyFont="1" applyBorder="1" applyAlignment="1">
      <alignment horizontal="center" vertical="center"/>
    </xf>
    <xf numFmtId="0" fontId="0" fillId="2" borderId="6" xfId="0" applyFill="1" applyBorder="1" applyAlignment="1">
      <alignment horizontal="center" vertical="center" wrapText="1"/>
    </xf>
    <xf numFmtId="0" fontId="3" fillId="0" borderId="23" xfId="0" applyFont="1" applyBorder="1" applyAlignment="1">
      <alignment horizontal="center" wrapText="1"/>
    </xf>
    <xf numFmtId="0" fontId="3" fillId="0" borderId="6" xfId="0" applyFont="1" applyBorder="1"/>
    <xf numFmtId="9" fontId="2" fillId="4" borderId="6" xfId="1" applyNumberFormat="1" applyFont="1" applyFill="1" applyBorder="1" applyAlignment="1">
      <alignment horizontal="center" vertical="center" wrapText="1"/>
    </xf>
    <xf numFmtId="164" fontId="3" fillId="0" borderId="6" xfId="0" applyNumberFormat="1" applyFont="1" applyBorder="1"/>
    <xf numFmtId="164" fontId="2" fillId="4" borderId="6" xfId="1" applyFont="1" applyFill="1" applyBorder="1" applyAlignment="1">
      <alignment horizontal="center" vertical="center" wrapText="1"/>
    </xf>
    <xf numFmtId="0" fontId="3" fillId="0" borderId="23" xfId="0" applyFont="1" applyBorder="1" applyAlignment="1">
      <alignment horizontal="center"/>
    </xf>
    <xf numFmtId="164" fontId="3" fillId="0" borderId="23" xfId="1" applyFont="1" applyFill="1" applyBorder="1" applyAlignment="1">
      <alignment horizontal="center"/>
    </xf>
    <xf numFmtId="0" fontId="29" fillId="0" borderId="6" xfId="43" applyFont="1" applyBorder="1" applyAlignment="1">
      <alignment horizontal="center" vertical="center" wrapText="1"/>
    </xf>
    <xf numFmtId="0" fontId="2" fillId="4" borderId="4" xfId="0" applyFont="1" applyFill="1" applyBorder="1" applyAlignment="1">
      <alignment horizontal="center" vertical="center" wrapText="1"/>
    </xf>
    <xf numFmtId="0" fontId="0" fillId="4" borderId="6" xfId="0" applyFill="1" applyBorder="1" applyAlignment="1">
      <alignment horizontal="center" vertical="center"/>
    </xf>
    <xf numFmtId="0" fontId="0" fillId="4" borderId="0" xfId="0" applyFill="1"/>
    <xf numFmtId="164" fontId="0" fillId="4" borderId="0" xfId="0" applyNumberFormat="1" applyFill="1"/>
  </cellXfs>
  <cellStyles count="50">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ell_Currency" xfId="48" xr:uid="{0585DBC0-DEE2-4E90-BC3C-6490264763A4}"/>
    <cellStyle name="Check Cell" xfId="14" builtinId="23" customBuiltin="1"/>
    <cellStyle name="Currency" xfId="1" builtinId="4"/>
    <cellStyle name="Default" xfId="43" xr:uid="{613D784A-A073-43F9-810B-76F12A06F8FB}"/>
    <cellStyle name="Explanatory Text" xfId="17" builtinId="53" customBuiltin="1"/>
    <cellStyle name="Good" xfId="7" builtinId="26" customBuiltin="1"/>
    <cellStyle name="Header" xfId="49" xr:uid="{77BB5D28-1C43-404E-969D-89979D19EBB6}"/>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S_R2A" xfId="45" xr:uid="{6319B261-3DE8-4992-9569-F6301776DEB4}"/>
    <cellStyle name="SpecialComment" xfId="47" xr:uid="{214FD3F9-4748-4DC4-9A84-42CAE617F09A}"/>
    <cellStyle name="Title" xfId="2" builtinId="15" customBuiltin="1"/>
    <cellStyle name="Title1_CompEase" xfId="44" xr:uid="{69F42087-8801-4F4B-BE2A-6347B5771D66}"/>
    <cellStyle name="Title2_CompEase" xfId="46" xr:uid="{F464B923-00AC-460F-BFF9-D279361684CE}"/>
    <cellStyle name="Total" xfId="18" builtinId="25" customBuiltin="1"/>
    <cellStyle name="Warning Text" xfId="15" builtinId="11" customBuilti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26"/>
  <sheetViews>
    <sheetView workbookViewId="0">
      <selection activeCell="C2" sqref="C2"/>
    </sheetView>
  </sheetViews>
  <sheetFormatPr defaultColWidth="9.140625" defaultRowHeight="15" x14ac:dyDescent="0.25"/>
  <cols>
    <col min="3" max="3" width="38.28515625" customWidth="1"/>
    <col min="4" max="4" width="24.28515625" customWidth="1"/>
    <col min="5" max="5" width="19.42578125" customWidth="1"/>
  </cols>
  <sheetData>
    <row r="1" spans="1:14" ht="38.25" x14ac:dyDescent="0.25">
      <c r="A1" s="29" t="s">
        <v>5</v>
      </c>
      <c r="B1" s="65" t="s">
        <v>127</v>
      </c>
      <c r="C1" s="30" t="s">
        <v>128</v>
      </c>
      <c r="D1" s="29" t="s">
        <v>239</v>
      </c>
      <c r="E1" s="29" t="s">
        <v>240</v>
      </c>
      <c r="F1" s="61"/>
      <c r="N1" s="24" t="s">
        <v>62</v>
      </c>
    </row>
    <row r="2" spans="1:14" ht="60.75" customHeight="1" x14ac:dyDescent="0.25">
      <c r="A2" s="48">
        <v>179286</v>
      </c>
      <c r="B2" s="52">
        <v>1</v>
      </c>
      <c r="C2" s="49">
        <v>65346.14</v>
      </c>
      <c r="D2" s="66" t="s">
        <v>241</v>
      </c>
      <c r="E2" s="67" t="s">
        <v>237</v>
      </c>
      <c r="F2" s="61"/>
      <c r="N2" s="24" t="s">
        <v>60</v>
      </c>
    </row>
    <row r="3" spans="1:14" x14ac:dyDescent="0.25">
      <c r="A3" s="62"/>
      <c r="B3" s="62"/>
      <c r="C3" s="63"/>
      <c r="D3" s="63"/>
      <c r="E3" s="64"/>
      <c r="F3" s="17"/>
      <c r="N3" s="24" t="s">
        <v>54</v>
      </c>
    </row>
    <row r="4" spans="1:14" ht="15.75" thickBot="1" x14ac:dyDescent="0.3">
      <c r="A4" s="74"/>
      <c r="B4" s="74"/>
      <c r="C4" s="75"/>
      <c r="D4" s="75"/>
      <c r="E4" s="69"/>
      <c r="F4" s="17"/>
      <c r="N4" s="24" t="s">
        <v>63</v>
      </c>
    </row>
    <row r="5" spans="1:14" ht="26.25" thickBot="1" x14ac:dyDescent="0.3">
      <c r="A5" s="4" t="s">
        <v>5</v>
      </c>
      <c r="B5" s="16" t="s">
        <v>47</v>
      </c>
      <c r="C5" s="5" t="s">
        <v>35</v>
      </c>
      <c r="D5" s="29" t="s">
        <v>239</v>
      </c>
      <c r="E5" s="29" t="s">
        <v>240</v>
      </c>
      <c r="F5" s="17"/>
      <c r="N5" s="24" t="s">
        <v>64</v>
      </c>
    </row>
    <row r="6" spans="1:14" ht="115.5" customHeight="1" x14ac:dyDescent="0.25">
      <c r="A6" s="48">
        <v>179557</v>
      </c>
      <c r="B6" s="48" t="s">
        <v>148</v>
      </c>
      <c r="C6" s="53" t="s">
        <v>159</v>
      </c>
      <c r="D6" s="66" t="s">
        <v>241</v>
      </c>
      <c r="E6" s="76" t="s">
        <v>220</v>
      </c>
      <c r="F6" s="17"/>
      <c r="N6" s="24" t="s">
        <v>57</v>
      </c>
    </row>
    <row r="7" spans="1:14" x14ac:dyDescent="0.25">
      <c r="A7" s="17"/>
      <c r="B7" s="17"/>
      <c r="C7" s="18"/>
      <c r="D7" s="18"/>
      <c r="E7" s="22"/>
      <c r="F7" s="17"/>
      <c r="N7" s="24" t="s">
        <v>55</v>
      </c>
    </row>
    <row r="8" spans="1:14" x14ac:dyDescent="0.25">
      <c r="A8" s="17"/>
      <c r="B8" s="17"/>
      <c r="C8" s="18"/>
      <c r="D8" s="18"/>
      <c r="E8" s="22"/>
      <c r="F8" s="17"/>
      <c r="N8" s="24" t="s">
        <v>59</v>
      </c>
    </row>
    <row r="9" spans="1:14" x14ac:dyDescent="0.25">
      <c r="A9" s="17"/>
      <c r="B9" s="17"/>
      <c r="C9" s="18"/>
      <c r="D9" s="18"/>
      <c r="E9" s="22"/>
      <c r="F9" s="17"/>
      <c r="N9" s="24" t="s">
        <v>65</v>
      </c>
    </row>
    <row r="10" spans="1:14" x14ac:dyDescent="0.25">
      <c r="A10" s="17"/>
      <c r="B10" s="17"/>
      <c r="C10" s="18"/>
      <c r="D10" s="18"/>
      <c r="E10" s="22"/>
      <c r="F10" s="17"/>
      <c r="N10" s="24" t="s">
        <v>66</v>
      </c>
    </row>
    <row r="11" spans="1:14" x14ac:dyDescent="0.25">
      <c r="A11" s="17"/>
      <c r="B11" s="17"/>
      <c r="C11" s="18"/>
      <c r="D11" s="18"/>
      <c r="E11" s="22"/>
      <c r="F11" s="17"/>
      <c r="N11" s="24" t="s">
        <v>52</v>
      </c>
    </row>
    <row r="12" spans="1:14" x14ac:dyDescent="0.25">
      <c r="A12" s="17"/>
      <c r="B12" s="17"/>
      <c r="C12" s="17"/>
      <c r="D12" s="17"/>
      <c r="E12" s="17"/>
      <c r="F12" s="17"/>
      <c r="N12" s="24" t="s">
        <v>53</v>
      </c>
    </row>
    <row r="13" spans="1:14" x14ac:dyDescent="0.25">
      <c r="A13" s="17"/>
      <c r="B13" s="17"/>
      <c r="C13" s="17"/>
      <c r="D13" s="17"/>
      <c r="E13" s="17"/>
      <c r="F13" s="17"/>
      <c r="N13" s="24" t="s">
        <v>67</v>
      </c>
    </row>
    <row r="14" spans="1:14" x14ac:dyDescent="0.25">
      <c r="A14" s="25"/>
      <c r="B14" s="25"/>
      <c r="C14" s="26"/>
      <c r="D14" s="25"/>
      <c r="E14" s="25"/>
      <c r="F14" s="17"/>
      <c r="N14" s="24" t="s">
        <v>51</v>
      </c>
    </row>
    <row r="15" spans="1:14" x14ac:dyDescent="0.25">
      <c r="A15" s="17"/>
      <c r="B15" s="17"/>
      <c r="C15" s="18"/>
      <c r="D15" s="18"/>
      <c r="E15" s="22"/>
      <c r="F15" s="17"/>
      <c r="N15" s="24" t="s">
        <v>56</v>
      </c>
    </row>
    <row r="16" spans="1:14" x14ac:dyDescent="0.25">
      <c r="A16" s="17"/>
      <c r="B16" s="17"/>
      <c r="C16" s="18"/>
      <c r="D16" s="18"/>
      <c r="E16" s="22"/>
      <c r="F16" s="17"/>
      <c r="N16" s="24" t="s">
        <v>58</v>
      </c>
    </row>
    <row r="17" spans="1:14" x14ac:dyDescent="0.25">
      <c r="A17" s="17"/>
      <c r="B17" s="17"/>
      <c r="C17" s="18"/>
      <c r="D17" s="18"/>
      <c r="E17" s="22"/>
      <c r="F17" s="17"/>
      <c r="N17" s="24" t="s">
        <v>48</v>
      </c>
    </row>
    <row r="18" spans="1:14" x14ac:dyDescent="0.25">
      <c r="A18" s="17"/>
      <c r="B18" s="17"/>
      <c r="C18" s="18"/>
      <c r="D18" s="18"/>
      <c r="E18" s="22"/>
      <c r="F18" s="17"/>
      <c r="N18" s="24" t="s">
        <v>49</v>
      </c>
    </row>
    <row r="19" spans="1:14" x14ac:dyDescent="0.25">
      <c r="A19" s="17"/>
      <c r="B19" s="17"/>
      <c r="C19" s="18"/>
      <c r="D19" s="18"/>
      <c r="E19" s="22"/>
      <c r="F19" s="17"/>
      <c r="N19" s="24" t="s">
        <v>68</v>
      </c>
    </row>
    <row r="20" spans="1:14" x14ac:dyDescent="0.25">
      <c r="A20" s="17"/>
      <c r="B20" s="17"/>
      <c r="C20" s="18"/>
      <c r="D20" s="18"/>
      <c r="E20" s="22"/>
      <c r="F20" s="17"/>
      <c r="N20" s="24" t="s">
        <v>50</v>
      </c>
    </row>
    <row r="21" spans="1:14" x14ac:dyDescent="0.25">
      <c r="A21" s="17"/>
      <c r="B21" s="17"/>
      <c r="C21" s="18"/>
      <c r="D21" s="18"/>
      <c r="E21" s="22"/>
      <c r="F21" s="17"/>
      <c r="N21" s="24" t="s">
        <v>69</v>
      </c>
    </row>
    <row r="22" spans="1:14" x14ac:dyDescent="0.25">
      <c r="A22" s="17"/>
      <c r="B22" s="17"/>
      <c r="C22" s="18"/>
      <c r="D22" s="18"/>
      <c r="E22" s="22"/>
      <c r="F22" s="17"/>
      <c r="N22" s="24" t="s">
        <v>58</v>
      </c>
    </row>
    <row r="23" spans="1:14" x14ac:dyDescent="0.25">
      <c r="A23" s="17"/>
      <c r="B23" s="17"/>
      <c r="C23" s="18"/>
      <c r="D23" s="18"/>
      <c r="E23" s="22"/>
      <c r="F23" s="17"/>
      <c r="N23" s="24" t="s">
        <v>70</v>
      </c>
    </row>
    <row r="24" spans="1:14" x14ac:dyDescent="0.25">
      <c r="A24" s="17"/>
      <c r="B24" s="17"/>
      <c r="C24" s="18"/>
      <c r="D24" s="18"/>
      <c r="E24" s="22"/>
      <c r="F24" s="17"/>
      <c r="N24" s="27" t="s">
        <v>71</v>
      </c>
    </row>
    <row r="25" spans="1:14" x14ac:dyDescent="0.25">
      <c r="A25" s="17"/>
      <c r="B25" s="17"/>
      <c r="C25" s="18"/>
      <c r="D25" s="18"/>
      <c r="E25" s="22"/>
      <c r="F25" s="17"/>
      <c r="N25" s="27" t="s">
        <v>72</v>
      </c>
    </row>
    <row r="26" spans="1:14" x14ac:dyDescent="0.25">
      <c r="A26" s="17"/>
      <c r="B26" s="17"/>
      <c r="C26" s="18"/>
      <c r="D26" s="18"/>
      <c r="E26" s="22"/>
      <c r="F26"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6"/>
  <sheetViews>
    <sheetView zoomScaleNormal="100" workbookViewId="0">
      <selection activeCell="E30" sqref="E30"/>
    </sheetView>
  </sheetViews>
  <sheetFormatPr defaultColWidth="9.140625" defaultRowHeight="12.75" x14ac:dyDescent="0.2"/>
  <cols>
    <col min="1" max="1" width="9.28515625" style="1" bestFit="1" customWidth="1"/>
    <col min="2" max="2" width="10.5703125" style="1" customWidth="1"/>
    <col min="3" max="3" width="11.5703125" style="1" bestFit="1" customWidth="1"/>
    <col min="4" max="4" width="10.42578125" style="1" bestFit="1" customWidth="1"/>
    <col min="5" max="6" width="9.140625" style="1"/>
    <col min="7" max="7" width="14.28515625" style="1" bestFit="1" customWidth="1"/>
    <col min="8" max="8" width="11" style="1" bestFit="1" customWidth="1"/>
    <col min="9" max="16384" width="9.140625" style="1"/>
  </cols>
  <sheetData>
    <row r="1" spans="1:9" ht="39" thickBot="1" x14ac:dyDescent="0.25">
      <c r="A1" s="4" t="s">
        <v>5</v>
      </c>
      <c r="B1" s="5" t="s">
        <v>0</v>
      </c>
      <c r="C1" s="6" t="s">
        <v>1</v>
      </c>
      <c r="D1" s="19" t="s">
        <v>2</v>
      </c>
      <c r="E1" s="20" t="s">
        <v>3</v>
      </c>
      <c r="F1" s="20" t="s">
        <v>4</v>
      </c>
      <c r="G1" s="21" t="s">
        <v>6</v>
      </c>
      <c r="H1" s="71">
        <v>0.04</v>
      </c>
      <c r="I1" s="73" t="s">
        <v>37</v>
      </c>
    </row>
    <row r="2" spans="1:9" ht="15" x14ac:dyDescent="0.2">
      <c r="A2" s="60">
        <v>179230</v>
      </c>
      <c r="B2" s="48" t="s">
        <v>130</v>
      </c>
      <c r="C2" s="49">
        <v>17867.46</v>
      </c>
      <c r="D2" s="50">
        <v>46265</v>
      </c>
      <c r="E2" s="48" t="s">
        <v>131</v>
      </c>
      <c r="F2" s="48" t="s">
        <v>132</v>
      </c>
      <c r="G2" s="49">
        <v>1095000</v>
      </c>
      <c r="H2" s="72">
        <f>G2*4/100</f>
        <v>43800</v>
      </c>
      <c r="I2" s="70"/>
    </row>
    <row r="3" spans="1:9" ht="15" x14ac:dyDescent="0.2">
      <c r="A3" s="60">
        <v>179259</v>
      </c>
      <c r="B3" s="48" t="s">
        <v>130</v>
      </c>
      <c r="C3" s="49">
        <v>2702.79</v>
      </c>
      <c r="D3" s="50">
        <v>46265</v>
      </c>
      <c r="E3" s="48" t="s">
        <v>131</v>
      </c>
      <c r="F3" s="48" t="s">
        <v>133</v>
      </c>
      <c r="G3" s="49">
        <v>428000</v>
      </c>
      <c r="H3" s="72">
        <f t="shared" ref="H3:H6" si="0">G3*4/100</f>
        <v>17120</v>
      </c>
      <c r="I3" s="70"/>
    </row>
    <row r="4" spans="1:9" ht="15" x14ac:dyDescent="0.2">
      <c r="A4" s="60">
        <v>179287</v>
      </c>
      <c r="B4" s="48" t="s">
        <v>130</v>
      </c>
      <c r="C4" s="49">
        <v>271.76</v>
      </c>
      <c r="D4" s="50">
        <v>46265</v>
      </c>
      <c r="E4" s="48" t="s">
        <v>131</v>
      </c>
      <c r="F4" s="48" t="s">
        <v>134</v>
      </c>
      <c r="G4" s="49">
        <v>225500</v>
      </c>
      <c r="H4" s="72">
        <f t="shared" si="0"/>
        <v>9020</v>
      </c>
      <c r="I4" s="70"/>
    </row>
    <row r="5" spans="1:9" ht="15" x14ac:dyDescent="0.2">
      <c r="A5" s="60">
        <v>179332</v>
      </c>
      <c r="B5" s="48" t="s">
        <v>130</v>
      </c>
      <c r="C5" s="49">
        <v>6.72</v>
      </c>
      <c r="D5" s="50">
        <v>46265</v>
      </c>
      <c r="E5" s="48" t="s">
        <v>131</v>
      </c>
      <c r="F5" s="48"/>
      <c r="G5" s="49">
        <v>9275</v>
      </c>
      <c r="H5" s="72">
        <f t="shared" si="0"/>
        <v>371</v>
      </c>
      <c r="I5" s="70"/>
    </row>
    <row r="6" spans="1:9" ht="15" x14ac:dyDescent="0.2">
      <c r="A6" s="60">
        <v>179550</v>
      </c>
      <c r="B6" s="48" t="s">
        <v>130</v>
      </c>
      <c r="C6" s="49">
        <v>1893.14</v>
      </c>
      <c r="D6" s="50">
        <v>46265</v>
      </c>
      <c r="E6" s="48" t="s">
        <v>131</v>
      </c>
      <c r="F6" s="48" t="s">
        <v>135</v>
      </c>
      <c r="G6" s="49">
        <v>183612</v>
      </c>
      <c r="H6" s="72">
        <f t="shared" si="0"/>
        <v>7344.48</v>
      </c>
      <c r="I6" s="7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2"/>
  <sheetViews>
    <sheetView topLeftCell="A2" workbookViewId="0">
      <selection activeCell="B21" sqref="B21"/>
    </sheetView>
  </sheetViews>
  <sheetFormatPr defaultRowHeight="15" x14ac:dyDescent="0.25"/>
  <cols>
    <col min="2" max="2" width="11.85546875" customWidth="1"/>
    <col min="4" max="4" width="10" bestFit="1" customWidth="1"/>
  </cols>
  <sheetData>
    <row r="1" spans="1:5" ht="51.75" thickBot="1" x14ac:dyDescent="0.3">
      <c r="A1" s="4" t="s">
        <v>5</v>
      </c>
      <c r="B1" s="5" t="s">
        <v>7</v>
      </c>
      <c r="C1" s="5" t="s">
        <v>8</v>
      </c>
      <c r="D1" s="9" t="s">
        <v>9</v>
      </c>
      <c r="E1" s="28" t="s">
        <v>74</v>
      </c>
    </row>
    <row r="2" spans="1:5" x14ac:dyDescent="0.25">
      <c r="B2" t="s">
        <v>140</v>
      </c>
      <c r="E2" s="51">
        <v>0</v>
      </c>
    </row>
    <row r="8" spans="1:5" ht="15.75" thickBot="1" x14ac:dyDescent="0.3"/>
    <row r="9" spans="1:5" ht="39.75" thickBot="1" x14ac:dyDescent="0.3">
      <c r="A9" s="4" t="s">
        <v>5</v>
      </c>
      <c r="B9" s="5" t="s">
        <v>10</v>
      </c>
      <c r="C9" s="36" t="s">
        <v>12</v>
      </c>
    </row>
    <row r="10" spans="1:5" x14ac:dyDescent="0.25">
      <c r="A10" s="3"/>
      <c r="B10" s="48" t="s">
        <v>140</v>
      </c>
      <c r="C10" s="3"/>
    </row>
    <row r="11" spans="1:5" x14ac:dyDescent="0.25">
      <c r="A11" s="3"/>
      <c r="B11" s="3"/>
      <c r="C11" s="3"/>
    </row>
    <row r="12" spans="1:5" x14ac:dyDescent="0.25">
      <c r="A12" s="3"/>
      <c r="B12" s="3"/>
      <c r="C12" s="3"/>
    </row>
    <row r="13" spans="1:5" x14ac:dyDescent="0.25">
      <c r="A13" s="3"/>
      <c r="B13" s="3"/>
      <c r="C13" s="3"/>
    </row>
    <row r="14" spans="1:5" x14ac:dyDescent="0.25">
      <c r="A14" s="3"/>
      <c r="B14" s="3"/>
      <c r="C14" s="3"/>
    </row>
    <row r="15" spans="1:5" ht="15.75" thickBot="1" x14ac:dyDescent="0.3">
      <c r="A15" s="3"/>
      <c r="B15" s="3"/>
      <c r="C15" s="3"/>
    </row>
    <row r="16" spans="1:5" ht="26.25" thickBot="1" x14ac:dyDescent="0.3">
      <c r="A16" s="4" t="s">
        <v>5</v>
      </c>
      <c r="B16" s="9" t="s">
        <v>11</v>
      </c>
      <c r="C16" s="3"/>
    </row>
    <row r="17" spans="1:2" x14ac:dyDescent="0.25">
      <c r="B17" s="48" t="s">
        <v>140</v>
      </c>
    </row>
    <row r="20" spans="1:2" ht="15.75" thickBot="1" x14ac:dyDescent="0.3"/>
    <row r="21" spans="1:2" ht="51.75" thickBot="1" x14ac:dyDescent="0.3">
      <c r="A21" s="4" t="s">
        <v>5</v>
      </c>
      <c r="B21" s="9" t="s">
        <v>38</v>
      </c>
    </row>
    <row r="22" spans="1:2" x14ac:dyDescent="0.25">
      <c r="B22" s="48"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4"/>
  <sheetViews>
    <sheetView workbookViewId="0"/>
  </sheetViews>
  <sheetFormatPr defaultRowHeight="15" x14ac:dyDescent="0.25"/>
  <cols>
    <col min="3" max="4" width="12" bestFit="1" customWidth="1"/>
  </cols>
  <sheetData>
    <row r="1" spans="1:5" ht="51.75" thickBot="1" x14ac:dyDescent="0.3">
      <c r="A1" s="4" t="s">
        <v>5</v>
      </c>
      <c r="B1" s="5" t="s">
        <v>13</v>
      </c>
      <c r="C1" s="6" t="s">
        <v>14</v>
      </c>
      <c r="D1" s="7" t="s">
        <v>15</v>
      </c>
      <c r="E1" s="10" t="s">
        <v>19</v>
      </c>
    </row>
    <row r="2" spans="1:5" x14ac:dyDescent="0.25">
      <c r="A2" s="60">
        <v>179259</v>
      </c>
      <c r="B2" s="48" t="s">
        <v>130</v>
      </c>
      <c r="C2" s="49">
        <v>21924.22</v>
      </c>
      <c r="D2" s="49" t="s">
        <v>138</v>
      </c>
      <c r="E2" s="48" t="s">
        <v>50</v>
      </c>
    </row>
    <row r="3" spans="1:5" x14ac:dyDescent="0.25">
      <c r="A3" s="60">
        <v>179365</v>
      </c>
      <c r="B3" s="48" t="s">
        <v>130</v>
      </c>
      <c r="C3" s="49">
        <v>2060.29</v>
      </c>
      <c r="D3" s="49" t="s">
        <v>138</v>
      </c>
      <c r="E3" s="48" t="s">
        <v>139</v>
      </c>
    </row>
    <row r="4" spans="1:5" x14ac:dyDescent="0.25">
      <c r="A4" s="60">
        <v>179570</v>
      </c>
      <c r="B4" s="48" t="s">
        <v>130</v>
      </c>
      <c r="C4" s="49">
        <v>2514.92</v>
      </c>
      <c r="D4" s="49">
        <v>2989.97</v>
      </c>
      <c r="E4" s="48" t="s">
        <v>139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2"/>
  <sheetViews>
    <sheetView workbookViewId="0">
      <selection activeCell="E1" sqref="E1"/>
    </sheetView>
  </sheetViews>
  <sheetFormatPr defaultRowHeight="15" x14ac:dyDescent="0.25"/>
  <cols>
    <col min="3" max="4" width="12" bestFit="1" customWidth="1"/>
  </cols>
  <sheetData>
    <row r="1" spans="1:5" ht="51.75" thickBot="1" x14ac:dyDescent="0.3">
      <c r="A1" s="4" t="s">
        <v>5</v>
      </c>
      <c r="B1" s="5" t="s">
        <v>16</v>
      </c>
      <c r="C1" s="6" t="s">
        <v>17</v>
      </c>
      <c r="D1" s="5" t="s">
        <v>18</v>
      </c>
      <c r="E1" s="8" t="s">
        <v>19</v>
      </c>
    </row>
    <row r="2" spans="1:5" x14ac:dyDescent="0.25">
      <c r="A2" s="60">
        <v>179547</v>
      </c>
      <c r="B2" s="48" t="s">
        <v>130</v>
      </c>
      <c r="C2" s="49">
        <v>50386.66</v>
      </c>
      <c r="D2" s="49" t="s">
        <v>138</v>
      </c>
      <c r="E2" s="48"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49"/>
  <sheetViews>
    <sheetView workbookViewId="0">
      <selection activeCell="M1" sqref="M1"/>
    </sheetView>
  </sheetViews>
  <sheetFormatPr defaultRowHeight="15" x14ac:dyDescent="0.25"/>
  <cols>
    <col min="1" max="1" width="7.42578125" bestFit="1" customWidth="1"/>
    <col min="2" max="2" width="8.5703125" bestFit="1" customWidth="1"/>
    <col min="3" max="4" width="13.28515625" bestFit="1" customWidth="1"/>
    <col min="5" max="5" width="13.28515625" style="79" bestFit="1" customWidth="1"/>
    <col min="6" max="6" width="8" bestFit="1" customWidth="1"/>
    <col min="9" max="9" width="7.42578125" bestFit="1" customWidth="1"/>
    <col min="10" max="10" width="8.5703125" bestFit="1" customWidth="1"/>
    <col min="13" max="13" width="7.42578125" bestFit="1" customWidth="1"/>
    <col min="14" max="14" width="8.5703125" bestFit="1" customWidth="1"/>
  </cols>
  <sheetData>
    <row r="1" spans="1:14" ht="39" thickBot="1" x14ac:dyDescent="0.3">
      <c r="A1" s="4" t="s">
        <v>5</v>
      </c>
      <c r="B1" s="23" t="s">
        <v>20</v>
      </c>
      <c r="C1" s="5" t="s">
        <v>21</v>
      </c>
      <c r="D1" s="9" t="s">
        <v>39</v>
      </c>
      <c r="E1" s="77" t="s">
        <v>116</v>
      </c>
      <c r="F1" s="9" t="s">
        <v>121</v>
      </c>
      <c r="I1" s="4" t="s">
        <v>5</v>
      </c>
      <c r="J1" s="9" t="s">
        <v>78</v>
      </c>
      <c r="M1" s="31" t="s">
        <v>5</v>
      </c>
      <c r="N1" s="32" t="s">
        <v>81</v>
      </c>
    </row>
    <row r="2" spans="1:14" x14ac:dyDescent="0.25">
      <c r="A2" s="60">
        <v>179273</v>
      </c>
      <c r="B2" s="52">
        <v>1</v>
      </c>
      <c r="C2" s="49">
        <v>241147</v>
      </c>
      <c r="D2" s="48">
        <v>2</v>
      </c>
      <c r="E2" s="78" t="s">
        <v>130</v>
      </c>
      <c r="J2" s="48" t="s">
        <v>140</v>
      </c>
      <c r="M2" s="48">
        <v>179273</v>
      </c>
      <c r="N2" s="48" t="s">
        <v>140</v>
      </c>
    </row>
    <row r="3" spans="1:14" x14ac:dyDescent="0.25">
      <c r="A3" s="60">
        <v>179281</v>
      </c>
      <c r="B3" s="52">
        <v>1</v>
      </c>
      <c r="C3" s="49">
        <v>382925</v>
      </c>
      <c r="D3" s="48">
        <v>2</v>
      </c>
      <c r="E3" s="78" t="s">
        <v>130</v>
      </c>
      <c r="M3" s="48">
        <v>179281</v>
      </c>
      <c r="N3" s="48" t="s">
        <v>140</v>
      </c>
    </row>
    <row r="4" spans="1:14" x14ac:dyDescent="0.25">
      <c r="A4" s="60">
        <v>179282</v>
      </c>
      <c r="B4" s="52">
        <v>1</v>
      </c>
      <c r="C4" s="49">
        <v>235653</v>
      </c>
      <c r="D4" s="48">
        <v>2</v>
      </c>
      <c r="E4" s="78" t="s">
        <v>130</v>
      </c>
      <c r="M4" s="48">
        <v>179282</v>
      </c>
      <c r="N4" s="48" t="s">
        <v>140</v>
      </c>
    </row>
    <row r="5" spans="1:14" x14ac:dyDescent="0.25">
      <c r="A5" s="60">
        <v>179286</v>
      </c>
      <c r="B5" s="52">
        <v>1</v>
      </c>
      <c r="C5" s="49">
        <v>220924</v>
      </c>
      <c r="D5" s="48">
        <v>2</v>
      </c>
      <c r="E5" s="78" t="s">
        <v>130</v>
      </c>
      <c r="M5" s="48">
        <v>179286</v>
      </c>
      <c r="N5" s="48" t="s">
        <v>140</v>
      </c>
    </row>
    <row r="6" spans="1:14" x14ac:dyDescent="0.25">
      <c r="A6" s="60">
        <v>179287</v>
      </c>
      <c r="B6" s="52">
        <v>1</v>
      </c>
      <c r="C6" s="49">
        <v>560000</v>
      </c>
      <c r="D6" s="48">
        <v>2</v>
      </c>
      <c r="E6" s="78" t="s">
        <v>130</v>
      </c>
      <c r="M6" s="48">
        <v>179287</v>
      </c>
      <c r="N6" s="48" t="s">
        <v>140</v>
      </c>
    </row>
    <row r="7" spans="1:14" x14ac:dyDescent="0.25">
      <c r="A7" s="60">
        <v>179290</v>
      </c>
      <c r="B7" s="52">
        <v>1</v>
      </c>
      <c r="C7" s="49">
        <v>322400</v>
      </c>
      <c r="D7" s="48">
        <v>2</v>
      </c>
      <c r="E7" s="78" t="s">
        <v>130</v>
      </c>
      <c r="M7" s="48">
        <v>179290</v>
      </c>
      <c r="N7" s="48" t="s">
        <v>140</v>
      </c>
    </row>
    <row r="8" spans="1:14" x14ac:dyDescent="0.25">
      <c r="A8" s="60">
        <v>179292</v>
      </c>
      <c r="B8" s="52">
        <v>1</v>
      </c>
      <c r="C8" s="49">
        <v>364000</v>
      </c>
      <c r="D8" s="48">
        <v>2</v>
      </c>
      <c r="E8" s="78" t="s">
        <v>130</v>
      </c>
      <c r="M8" s="48">
        <v>179292</v>
      </c>
      <c r="N8" s="48" t="s">
        <v>140</v>
      </c>
    </row>
    <row r="9" spans="1:14" x14ac:dyDescent="0.25">
      <c r="A9" s="60">
        <v>179293</v>
      </c>
      <c r="B9" s="52">
        <v>1</v>
      </c>
      <c r="C9" s="49">
        <v>10398</v>
      </c>
      <c r="D9" s="48">
        <v>2</v>
      </c>
      <c r="E9" s="78" t="s">
        <v>130</v>
      </c>
      <c r="M9" s="48">
        <v>179293</v>
      </c>
      <c r="N9" s="48" t="s">
        <v>140</v>
      </c>
    </row>
    <row r="10" spans="1:14" x14ac:dyDescent="0.25">
      <c r="A10" s="60">
        <v>179307</v>
      </c>
      <c r="B10" s="52">
        <v>1</v>
      </c>
      <c r="C10" s="49">
        <v>360000</v>
      </c>
      <c r="D10" s="48">
        <v>2</v>
      </c>
      <c r="E10" s="78" t="s">
        <v>130</v>
      </c>
      <c r="M10" s="48">
        <v>179307</v>
      </c>
      <c r="N10" s="48" t="s">
        <v>140</v>
      </c>
    </row>
    <row r="11" spans="1:14" x14ac:dyDescent="0.25">
      <c r="A11" s="60">
        <v>179329</v>
      </c>
      <c r="B11" s="52">
        <v>1</v>
      </c>
      <c r="C11" s="49">
        <v>279837</v>
      </c>
      <c r="D11" s="48">
        <v>2</v>
      </c>
      <c r="E11" s="78" t="s">
        <v>130</v>
      </c>
      <c r="M11" s="48">
        <v>179329</v>
      </c>
      <c r="N11" s="48" t="s">
        <v>140</v>
      </c>
    </row>
    <row r="12" spans="1:14" x14ac:dyDescent="0.25">
      <c r="A12" s="60">
        <v>179330</v>
      </c>
      <c r="B12" s="52">
        <v>1</v>
      </c>
      <c r="C12" s="49">
        <v>146153</v>
      </c>
      <c r="D12" s="48">
        <v>2</v>
      </c>
      <c r="E12" s="78" t="s">
        <v>130</v>
      </c>
      <c r="M12" s="48">
        <v>179330</v>
      </c>
      <c r="N12" s="48" t="s">
        <v>140</v>
      </c>
    </row>
    <row r="13" spans="1:14" x14ac:dyDescent="0.25">
      <c r="A13" s="60">
        <v>179332</v>
      </c>
      <c r="B13" s="52">
        <v>1</v>
      </c>
      <c r="C13" s="49">
        <v>260200</v>
      </c>
      <c r="D13" s="48">
        <v>2</v>
      </c>
      <c r="E13" s="78" t="s">
        <v>130</v>
      </c>
      <c r="M13" s="48">
        <v>179332</v>
      </c>
      <c r="N13" s="48" t="s">
        <v>140</v>
      </c>
    </row>
    <row r="14" spans="1:14" x14ac:dyDescent="0.25">
      <c r="A14" s="60">
        <v>179343</v>
      </c>
      <c r="B14" s="52">
        <v>1</v>
      </c>
      <c r="C14" s="49">
        <v>260480</v>
      </c>
      <c r="D14" s="48">
        <v>2</v>
      </c>
      <c r="E14" s="78" t="s">
        <v>130</v>
      </c>
      <c r="M14" s="48">
        <v>179343</v>
      </c>
      <c r="N14" s="48" t="s">
        <v>140</v>
      </c>
    </row>
    <row r="15" spans="1:14" x14ac:dyDescent="0.25">
      <c r="A15" s="60">
        <v>179365</v>
      </c>
      <c r="B15" s="52">
        <v>1</v>
      </c>
      <c r="C15" s="49">
        <v>152093</v>
      </c>
      <c r="D15" s="48">
        <v>2</v>
      </c>
      <c r="E15" s="78" t="s">
        <v>130</v>
      </c>
      <c r="M15" s="48">
        <v>179365</v>
      </c>
      <c r="N15" s="48" t="s">
        <v>140</v>
      </c>
    </row>
    <row r="16" spans="1:14" ht="16.5" customHeight="1" x14ac:dyDescent="0.25">
      <c r="A16" s="60">
        <v>179544</v>
      </c>
      <c r="B16" s="52">
        <v>1</v>
      </c>
      <c r="C16" s="49">
        <v>150228</v>
      </c>
      <c r="D16" s="48">
        <v>2</v>
      </c>
      <c r="E16" s="78" t="s">
        <v>130</v>
      </c>
      <c r="M16" s="48">
        <v>179544</v>
      </c>
      <c r="N16" s="48" t="s">
        <v>140</v>
      </c>
    </row>
    <row r="17" spans="1:14" x14ac:dyDescent="0.25">
      <c r="A17" s="60">
        <v>179557</v>
      </c>
      <c r="B17" s="52">
        <v>1</v>
      </c>
      <c r="C17" s="49">
        <v>328932</v>
      </c>
      <c r="D17" s="48">
        <v>2</v>
      </c>
      <c r="E17" s="78" t="s">
        <v>130</v>
      </c>
      <c r="M17" s="48">
        <v>179557</v>
      </c>
      <c r="N17" s="48" t="s">
        <v>140</v>
      </c>
    </row>
    <row r="18" spans="1:14" x14ac:dyDescent="0.25">
      <c r="A18" s="60">
        <v>179566</v>
      </c>
      <c r="B18" s="52">
        <v>1</v>
      </c>
      <c r="C18" s="49">
        <v>368560</v>
      </c>
      <c r="D18" s="48">
        <v>2</v>
      </c>
      <c r="E18" s="78" t="s">
        <v>130</v>
      </c>
      <c r="M18" s="48">
        <v>179566</v>
      </c>
      <c r="N18" s="48" t="s">
        <v>140</v>
      </c>
    </row>
    <row r="19" spans="1:14" x14ac:dyDescent="0.25">
      <c r="A19" s="60">
        <v>179567</v>
      </c>
      <c r="B19" s="52">
        <v>1</v>
      </c>
      <c r="C19" s="49">
        <v>132554</v>
      </c>
      <c r="D19" s="48">
        <v>2</v>
      </c>
      <c r="E19" s="78" t="s">
        <v>130</v>
      </c>
      <c r="M19" s="48">
        <v>179567</v>
      </c>
      <c r="N19" s="48" t="s">
        <v>140</v>
      </c>
    </row>
    <row r="20" spans="1:14" x14ac:dyDescent="0.25">
      <c r="A20" s="60">
        <v>179572</v>
      </c>
      <c r="B20" s="52">
        <v>1</v>
      </c>
      <c r="C20" s="49">
        <v>422211</v>
      </c>
      <c r="D20" s="48">
        <v>2</v>
      </c>
      <c r="E20" s="78" t="s">
        <v>130</v>
      </c>
      <c r="M20" s="48">
        <v>179572</v>
      </c>
      <c r="N20" s="48" t="s">
        <v>140</v>
      </c>
    </row>
    <row r="21" spans="1:14" x14ac:dyDescent="0.25">
      <c r="A21" s="60">
        <v>179573</v>
      </c>
      <c r="B21" s="52">
        <v>1</v>
      </c>
      <c r="C21" s="49">
        <v>20000</v>
      </c>
      <c r="D21" s="48">
        <v>2</v>
      </c>
      <c r="E21" s="78" t="s">
        <v>130</v>
      </c>
      <c r="M21" s="48">
        <v>179573</v>
      </c>
      <c r="N21" s="48" t="s">
        <v>140</v>
      </c>
    </row>
    <row r="23" spans="1:14" ht="15.75" thickBot="1" x14ac:dyDescent="0.3"/>
    <row r="24" spans="1:14" ht="39" thickBot="1" x14ac:dyDescent="0.3">
      <c r="A24" s="4" t="s">
        <v>5</v>
      </c>
      <c r="B24" s="45" t="s">
        <v>127</v>
      </c>
      <c r="C24" s="46" t="s">
        <v>128</v>
      </c>
      <c r="D24" s="47" t="s">
        <v>6</v>
      </c>
      <c r="E24" s="79" t="s">
        <v>243</v>
      </c>
    </row>
    <row r="25" spans="1:14" x14ac:dyDescent="0.25">
      <c r="A25" s="60">
        <v>179225</v>
      </c>
      <c r="B25" s="52">
        <v>1</v>
      </c>
      <c r="C25" s="49">
        <v>15495</v>
      </c>
      <c r="D25" s="49">
        <v>299557</v>
      </c>
      <c r="E25" s="80">
        <f>D25-C25</f>
        <v>284062</v>
      </c>
    </row>
    <row r="26" spans="1:14" x14ac:dyDescent="0.25">
      <c r="A26" s="60">
        <v>179226</v>
      </c>
      <c r="B26" s="52">
        <v>1</v>
      </c>
      <c r="C26" s="49">
        <v>18750</v>
      </c>
      <c r="D26" s="49">
        <v>368207</v>
      </c>
      <c r="E26" s="80">
        <f t="shared" ref="E26:E47" si="0">D26-C26</f>
        <v>349457</v>
      </c>
    </row>
    <row r="27" spans="1:14" x14ac:dyDescent="0.25">
      <c r="A27" s="60">
        <v>179229</v>
      </c>
      <c r="B27" s="52">
        <v>1</v>
      </c>
      <c r="C27" s="49">
        <v>15000</v>
      </c>
      <c r="D27" s="49">
        <v>301625</v>
      </c>
      <c r="E27" s="80">
        <f t="shared" si="0"/>
        <v>286625</v>
      </c>
    </row>
    <row r="28" spans="1:14" x14ac:dyDescent="0.25">
      <c r="A28" s="60">
        <v>179237</v>
      </c>
      <c r="B28" s="52">
        <v>1</v>
      </c>
      <c r="C28" s="49">
        <v>95000</v>
      </c>
      <c r="D28" s="49">
        <v>403750</v>
      </c>
      <c r="E28" s="80">
        <f t="shared" si="0"/>
        <v>308750</v>
      </c>
    </row>
    <row r="29" spans="1:14" x14ac:dyDescent="0.25">
      <c r="A29" s="60">
        <v>179238</v>
      </c>
      <c r="B29" s="52">
        <v>1</v>
      </c>
      <c r="C29" s="49">
        <v>30000</v>
      </c>
      <c r="D29" s="49">
        <v>485000</v>
      </c>
      <c r="E29" s="80">
        <f t="shared" si="0"/>
        <v>455000</v>
      </c>
    </row>
    <row r="30" spans="1:14" x14ac:dyDescent="0.25">
      <c r="A30" s="60">
        <v>179242</v>
      </c>
      <c r="B30" s="52">
        <v>1</v>
      </c>
      <c r="C30" s="49">
        <v>30000</v>
      </c>
      <c r="D30" s="49">
        <v>690000</v>
      </c>
      <c r="E30" s="80">
        <f t="shared" si="0"/>
        <v>660000</v>
      </c>
    </row>
    <row r="31" spans="1:14" x14ac:dyDescent="0.25">
      <c r="A31" s="60">
        <v>179244</v>
      </c>
      <c r="B31" s="52">
        <v>1</v>
      </c>
      <c r="C31" s="49">
        <v>15000</v>
      </c>
      <c r="D31" s="49">
        <v>322905</v>
      </c>
      <c r="E31" s="80">
        <f t="shared" si="0"/>
        <v>307905</v>
      </c>
    </row>
    <row r="32" spans="1:14" x14ac:dyDescent="0.25">
      <c r="A32" s="60">
        <v>179245</v>
      </c>
      <c r="B32" s="52">
        <v>1</v>
      </c>
      <c r="C32" s="49">
        <v>6627</v>
      </c>
      <c r="D32" s="49">
        <v>220924</v>
      </c>
      <c r="E32" s="80">
        <f t="shared" si="0"/>
        <v>214297</v>
      </c>
    </row>
    <row r="33" spans="1:5" x14ac:dyDescent="0.25">
      <c r="A33" s="60">
        <v>179246</v>
      </c>
      <c r="B33" s="52">
        <v>1</v>
      </c>
      <c r="C33" s="49">
        <v>16150</v>
      </c>
      <c r="D33" s="49">
        <v>323000</v>
      </c>
      <c r="E33" s="80">
        <f t="shared" si="0"/>
        <v>306850</v>
      </c>
    </row>
    <row r="34" spans="1:5" x14ac:dyDescent="0.25">
      <c r="A34" s="60">
        <v>179250</v>
      </c>
      <c r="B34" s="52">
        <v>1</v>
      </c>
      <c r="C34" s="49">
        <v>15000</v>
      </c>
      <c r="D34" s="49">
        <v>251750</v>
      </c>
      <c r="E34" s="80">
        <f t="shared" si="0"/>
        <v>236750</v>
      </c>
    </row>
    <row r="35" spans="1:5" x14ac:dyDescent="0.25">
      <c r="A35" s="60">
        <v>179258</v>
      </c>
      <c r="B35" s="52">
        <v>1</v>
      </c>
      <c r="C35" s="49">
        <v>6156</v>
      </c>
      <c r="D35" s="49">
        <v>205214</v>
      </c>
      <c r="E35" s="80">
        <f t="shared" si="0"/>
        <v>199058</v>
      </c>
    </row>
    <row r="36" spans="1:5" x14ac:dyDescent="0.25">
      <c r="A36" s="60">
        <v>179259</v>
      </c>
      <c r="B36" s="52">
        <v>1</v>
      </c>
      <c r="C36" s="49">
        <v>30000</v>
      </c>
      <c r="D36" s="49">
        <v>428000</v>
      </c>
      <c r="E36" s="80">
        <f t="shared" si="0"/>
        <v>398000</v>
      </c>
    </row>
    <row r="37" spans="1:5" x14ac:dyDescent="0.25">
      <c r="A37" s="60">
        <v>179264</v>
      </c>
      <c r="B37" s="52">
        <v>1</v>
      </c>
      <c r="C37" s="49">
        <v>7953</v>
      </c>
      <c r="D37" s="49">
        <v>265109</v>
      </c>
      <c r="E37" s="80">
        <f t="shared" si="0"/>
        <v>257156</v>
      </c>
    </row>
    <row r="38" spans="1:5" x14ac:dyDescent="0.25">
      <c r="A38" s="60">
        <v>179281</v>
      </c>
      <c r="B38" s="52">
        <v>2</v>
      </c>
      <c r="C38" s="49">
        <v>38016.35</v>
      </c>
      <c r="D38" s="49">
        <v>15000</v>
      </c>
      <c r="E38" s="80">
        <f t="shared" si="0"/>
        <v>-23016.35</v>
      </c>
    </row>
    <row r="39" spans="1:5" x14ac:dyDescent="0.25">
      <c r="A39" s="60">
        <v>179285</v>
      </c>
      <c r="B39" s="52">
        <v>1</v>
      </c>
      <c r="C39" s="49">
        <v>13137</v>
      </c>
      <c r="D39" s="49">
        <v>368560</v>
      </c>
      <c r="E39" s="80">
        <f t="shared" si="0"/>
        <v>355423</v>
      </c>
    </row>
    <row r="40" spans="1:5" x14ac:dyDescent="0.25">
      <c r="A40" s="60">
        <v>179286</v>
      </c>
      <c r="B40" s="52">
        <v>1</v>
      </c>
      <c r="C40" s="49">
        <v>65346.14</v>
      </c>
      <c r="D40" s="49">
        <v>4418</v>
      </c>
      <c r="E40" s="80">
        <f t="shared" si="0"/>
        <v>-60928.14</v>
      </c>
    </row>
    <row r="41" spans="1:5" x14ac:dyDescent="0.25">
      <c r="A41" s="60">
        <v>179365</v>
      </c>
      <c r="B41" s="52">
        <v>1</v>
      </c>
      <c r="C41" s="49">
        <v>5132.88</v>
      </c>
      <c r="D41" s="49">
        <v>9000</v>
      </c>
      <c r="E41" s="80">
        <f t="shared" si="0"/>
        <v>3867.12</v>
      </c>
    </row>
    <row r="42" spans="1:5" x14ac:dyDescent="0.25">
      <c r="A42" s="60">
        <v>179551</v>
      </c>
      <c r="B42" s="52">
        <v>1</v>
      </c>
      <c r="C42" s="49">
        <v>9594</v>
      </c>
      <c r="D42" s="49">
        <v>157003</v>
      </c>
      <c r="E42" s="80">
        <f t="shared" si="0"/>
        <v>147409</v>
      </c>
    </row>
    <row r="43" spans="1:5" x14ac:dyDescent="0.25">
      <c r="A43" s="60">
        <v>179557</v>
      </c>
      <c r="B43" s="52">
        <v>3</v>
      </c>
      <c r="C43" s="49">
        <v>91545.63</v>
      </c>
      <c r="D43" s="49">
        <v>16750</v>
      </c>
      <c r="E43" s="80">
        <f t="shared" si="0"/>
        <v>-74795.63</v>
      </c>
    </row>
    <row r="44" spans="1:5" x14ac:dyDescent="0.25">
      <c r="A44" s="60">
        <v>179559</v>
      </c>
      <c r="B44" s="52">
        <v>1</v>
      </c>
      <c r="C44" s="49">
        <v>18728</v>
      </c>
      <c r="D44" s="49">
        <v>374562</v>
      </c>
      <c r="E44" s="80">
        <f t="shared" si="0"/>
        <v>355834</v>
      </c>
    </row>
    <row r="45" spans="1:5" x14ac:dyDescent="0.25">
      <c r="A45" s="60">
        <v>179564</v>
      </c>
      <c r="B45" s="52">
        <v>1</v>
      </c>
      <c r="C45" s="49">
        <v>7511</v>
      </c>
      <c r="D45" s="49">
        <v>250381</v>
      </c>
      <c r="E45" s="80">
        <f t="shared" si="0"/>
        <v>242870</v>
      </c>
    </row>
    <row r="46" spans="1:5" x14ac:dyDescent="0.25">
      <c r="A46" s="60">
        <v>179568</v>
      </c>
      <c r="B46" s="52">
        <v>1</v>
      </c>
      <c r="C46" s="49">
        <v>16600</v>
      </c>
      <c r="D46" s="49">
        <v>320919</v>
      </c>
      <c r="E46" s="80">
        <f t="shared" si="0"/>
        <v>304319</v>
      </c>
    </row>
    <row r="47" spans="1:5" x14ac:dyDescent="0.25">
      <c r="A47" s="60">
        <v>179570</v>
      </c>
      <c r="B47" s="52">
        <v>1</v>
      </c>
      <c r="C47" s="49">
        <v>20000</v>
      </c>
      <c r="D47" s="49">
        <v>177650</v>
      </c>
      <c r="E47" s="80">
        <f t="shared" si="0"/>
        <v>157650</v>
      </c>
    </row>
    <row r="49" spans="4:4" x14ac:dyDescent="0.25">
      <c r="D49" s="49">
        <v>16750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2"/>
  <sheetViews>
    <sheetView workbookViewId="0">
      <selection activeCell="B2" sqref="B2"/>
    </sheetView>
  </sheetViews>
  <sheetFormatPr defaultRowHeight="15" x14ac:dyDescent="0.25"/>
  <cols>
    <col min="4" max="4" width="12" bestFit="1" customWidth="1"/>
    <col min="6" max="6" width="10.7109375" customWidth="1"/>
  </cols>
  <sheetData>
    <row r="1" spans="1:7" ht="51.75" thickBot="1" x14ac:dyDescent="0.3">
      <c r="A1" s="4" t="s">
        <v>5</v>
      </c>
      <c r="B1" s="6" t="s">
        <v>22</v>
      </c>
      <c r="C1" s="5" t="s">
        <v>23</v>
      </c>
      <c r="D1" s="6" t="s">
        <v>24</v>
      </c>
      <c r="E1" s="8" t="s">
        <v>19</v>
      </c>
      <c r="F1" s="6" t="s">
        <v>40</v>
      </c>
      <c r="G1" s="37" t="s">
        <v>41</v>
      </c>
    </row>
    <row r="2" spans="1:7" x14ac:dyDescent="0.25">
      <c r="A2" s="60">
        <v>179286</v>
      </c>
      <c r="B2" s="52" t="s">
        <v>140</v>
      </c>
      <c r="C2" s="49" t="s">
        <v>138</v>
      </c>
      <c r="D2" s="49">
        <v>1540.49</v>
      </c>
      <c r="E2" s="48" t="s">
        <v>71</v>
      </c>
      <c r="F2" s="52" t="s">
        <v>136</v>
      </c>
      <c r="G2" s="5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U4"/>
  <sheetViews>
    <sheetView workbookViewId="0">
      <selection activeCell="P1" sqref="P1"/>
    </sheetView>
  </sheetViews>
  <sheetFormatPr defaultRowHeight="15" x14ac:dyDescent="0.25"/>
  <cols>
    <col min="2" max="2" width="10.7109375" customWidth="1"/>
    <col min="3" max="3" width="11" bestFit="1" customWidth="1"/>
    <col min="4" max="4" width="13.5703125" bestFit="1" customWidth="1"/>
    <col min="44" max="44" width="17.85546875" bestFit="1" customWidth="1"/>
    <col min="45" max="45" width="7.42578125" bestFit="1" customWidth="1"/>
    <col min="47" max="47" width="15.7109375" customWidth="1"/>
  </cols>
  <sheetData>
    <row r="1" spans="1:47" s="1" customFormat="1" ht="57" customHeight="1" thickBot="1" x14ac:dyDescent="0.25">
      <c r="A1" s="4" t="s">
        <v>5</v>
      </c>
      <c r="B1" s="23" t="s">
        <v>28</v>
      </c>
      <c r="C1" s="6" t="s">
        <v>29</v>
      </c>
      <c r="D1" s="6" t="s">
        <v>30</v>
      </c>
      <c r="E1" s="23" t="s">
        <v>25</v>
      </c>
      <c r="F1" s="6" t="s">
        <v>26</v>
      </c>
      <c r="G1" s="6" t="s">
        <v>27</v>
      </c>
      <c r="H1" s="23" t="s">
        <v>31</v>
      </c>
      <c r="I1" s="6" t="s">
        <v>32</v>
      </c>
      <c r="J1" s="6" t="s">
        <v>33</v>
      </c>
      <c r="K1" s="38" t="s">
        <v>73</v>
      </c>
      <c r="L1" s="8" t="s">
        <v>19</v>
      </c>
      <c r="N1" s="4" t="s">
        <v>5</v>
      </c>
      <c r="O1" s="40" t="s">
        <v>88</v>
      </c>
      <c r="P1" s="40" t="s">
        <v>89</v>
      </c>
      <c r="Q1" s="40" t="s">
        <v>90</v>
      </c>
      <c r="R1" s="41" t="s">
        <v>91</v>
      </c>
      <c r="S1" s="42" t="s">
        <v>92</v>
      </c>
      <c r="T1" s="40" t="s">
        <v>93</v>
      </c>
      <c r="U1" s="41" t="s">
        <v>94</v>
      </c>
      <c r="V1" s="42" t="s">
        <v>95</v>
      </c>
      <c r="W1" s="40" t="s">
        <v>96</v>
      </c>
      <c r="X1" s="42" t="s">
        <v>97</v>
      </c>
      <c r="Y1" s="40" t="s">
        <v>98</v>
      </c>
      <c r="Z1" s="40" t="s">
        <v>99</v>
      </c>
      <c r="AA1" s="42" t="s">
        <v>100</v>
      </c>
      <c r="AB1" s="41" t="s">
        <v>101</v>
      </c>
      <c r="AC1" s="42" t="s">
        <v>102</v>
      </c>
      <c r="AD1" s="40" t="s">
        <v>103</v>
      </c>
      <c r="AE1" s="43" t="s">
        <v>104</v>
      </c>
      <c r="AF1" s="40" t="s">
        <v>122</v>
      </c>
      <c r="AG1" s="40" t="s">
        <v>105</v>
      </c>
      <c r="AH1" s="44" t="s">
        <v>106</v>
      </c>
      <c r="AI1" s="40" t="s">
        <v>107</v>
      </c>
      <c r="AJ1" s="44" t="s">
        <v>108</v>
      </c>
      <c r="AK1" s="42" t="s">
        <v>109</v>
      </c>
      <c r="AL1" s="40" t="s">
        <v>110</v>
      </c>
      <c r="AM1" s="40" t="s">
        <v>111</v>
      </c>
      <c r="AN1" s="40" t="s">
        <v>112</v>
      </c>
      <c r="AO1" s="40" t="s">
        <v>113</v>
      </c>
      <c r="AP1" s="41" t="s">
        <v>123</v>
      </c>
      <c r="AQ1" s="42" t="s">
        <v>124</v>
      </c>
      <c r="AR1" s="40" t="s">
        <v>114</v>
      </c>
      <c r="AS1" s="41" t="s">
        <v>125</v>
      </c>
      <c r="AT1" s="42" t="s">
        <v>126</v>
      </c>
      <c r="AU1" s="42" t="s">
        <v>115</v>
      </c>
    </row>
    <row r="2" spans="1:47" x14ac:dyDescent="0.25">
      <c r="A2" s="60">
        <v>179242</v>
      </c>
      <c r="B2" s="52" t="s">
        <v>136</v>
      </c>
      <c r="C2" s="49" t="s">
        <v>138</v>
      </c>
      <c r="D2" s="49" t="s">
        <v>138</v>
      </c>
      <c r="E2" s="52" t="s">
        <v>140</v>
      </c>
      <c r="F2" s="49" t="s">
        <v>138</v>
      </c>
      <c r="G2" s="49">
        <v>36.799999999999997</v>
      </c>
      <c r="H2" s="52" t="s">
        <v>136</v>
      </c>
      <c r="I2" s="49" t="s">
        <v>138</v>
      </c>
      <c r="J2" s="49" t="s">
        <v>138</v>
      </c>
      <c r="K2" s="51">
        <v>1</v>
      </c>
      <c r="L2" s="48" t="s">
        <v>141</v>
      </c>
      <c r="O2" s="48" t="s">
        <v>244</v>
      </c>
      <c r="P2" s="48" t="s">
        <v>130</v>
      </c>
    </row>
    <row r="3" spans="1:47" x14ac:dyDescent="0.25">
      <c r="A3" s="60">
        <v>179307</v>
      </c>
      <c r="B3" s="52" t="s">
        <v>136</v>
      </c>
      <c r="C3" s="49" t="s">
        <v>138</v>
      </c>
      <c r="D3" s="49" t="s">
        <v>138</v>
      </c>
      <c r="E3" s="52" t="s">
        <v>136</v>
      </c>
      <c r="F3" s="49" t="s">
        <v>138</v>
      </c>
      <c r="G3" s="49" t="s">
        <v>138</v>
      </c>
      <c r="H3" s="52" t="s">
        <v>140</v>
      </c>
      <c r="I3" s="49">
        <v>656</v>
      </c>
      <c r="J3" s="49" t="s">
        <v>138</v>
      </c>
      <c r="K3" s="51">
        <v>1</v>
      </c>
      <c r="L3" s="48" t="s">
        <v>141</v>
      </c>
    </row>
    <row r="4" spans="1:47" x14ac:dyDescent="0.25">
      <c r="A4" s="60">
        <v>179550</v>
      </c>
      <c r="B4" s="52" t="s">
        <v>136</v>
      </c>
      <c r="C4" s="49" t="s">
        <v>138</v>
      </c>
      <c r="D4" s="49" t="s">
        <v>138</v>
      </c>
      <c r="E4" s="52" t="s">
        <v>140</v>
      </c>
      <c r="F4" s="49" t="s">
        <v>138</v>
      </c>
      <c r="G4" s="49">
        <v>405</v>
      </c>
      <c r="H4" s="52" t="s">
        <v>136</v>
      </c>
      <c r="I4" s="49" t="s">
        <v>138</v>
      </c>
      <c r="J4" s="49" t="s">
        <v>138</v>
      </c>
      <c r="K4" s="51">
        <v>1</v>
      </c>
      <c r="L4" s="48" t="s">
        <v>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C2"/>
  <sheetViews>
    <sheetView workbookViewId="0">
      <selection activeCell="B2" sqref="B2"/>
    </sheetView>
  </sheetViews>
  <sheetFormatPr defaultRowHeight="15" x14ac:dyDescent="0.25"/>
  <sheetData>
    <row r="1" spans="1:3" ht="39" thickBot="1" x14ac:dyDescent="0.3">
      <c r="A1" s="4" t="s">
        <v>5</v>
      </c>
      <c r="B1" s="9" t="s">
        <v>34</v>
      </c>
      <c r="C1" s="39" t="s">
        <v>36</v>
      </c>
    </row>
    <row r="2" spans="1:3" x14ac:dyDescent="0.25">
      <c r="A2" s="60">
        <v>179330</v>
      </c>
      <c r="B2" s="48" t="s">
        <v>140</v>
      </c>
      <c r="C2" s="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P31"/>
  <sheetViews>
    <sheetView workbookViewId="0">
      <selection activeCell="B1" sqref="B1"/>
    </sheetView>
  </sheetViews>
  <sheetFormatPr defaultColWidth="10.140625" defaultRowHeight="54.75" customHeight="1" x14ac:dyDescent="0.25"/>
  <cols>
    <col min="1" max="9" width="10.140625" style="11"/>
    <col min="10" max="10" width="16.140625" style="11" bestFit="1" customWidth="1"/>
    <col min="11" max="16384" width="10.140625" style="11"/>
  </cols>
  <sheetData>
    <row r="1" spans="1:16" ht="54.75" customHeight="1" thickBot="1" x14ac:dyDescent="0.3">
      <c r="A1" s="4" t="s">
        <v>5</v>
      </c>
      <c r="B1" s="16" t="s">
        <v>47</v>
      </c>
      <c r="C1" s="5" t="s">
        <v>35</v>
      </c>
      <c r="D1" s="12" t="s">
        <v>118</v>
      </c>
      <c r="E1" s="12" t="s">
        <v>82</v>
      </c>
      <c r="F1" s="12" t="s">
        <v>86</v>
      </c>
      <c r="G1" s="12" t="s">
        <v>117</v>
      </c>
      <c r="H1" s="12" t="s">
        <v>83</v>
      </c>
      <c r="I1" s="12" t="s">
        <v>119</v>
      </c>
      <c r="J1" s="12" t="s">
        <v>84</v>
      </c>
      <c r="K1" s="12" t="s">
        <v>61</v>
      </c>
      <c r="L1" s="12" t="s">
        <v>87</v>
      </c>
      <c r="M1" s="12" t="s">
        <v>120</v>
      </c>
      <c r="N1" s="12" t="s">
        <v>85</v>
      </c>
      <c r="O1" s="12" t="s">
        <v>36</v>
      </c>
      <c r="P1" s="11">
        <f>30-18</f>
        <v>12</v>
      </c>
    </row>
    <row r="2" spans="1:16" ht="54.75" customHeight="1" x14ac:dyDescent="0.25">
      <c r="A2" s="60">
        <v>179220</v>
      </c>
      <c r="B2" s="48" t="s">
        <v>142</v>
      </c>
      <c r="C2" s="48" t="s">
        <v>143</v>
      </c>
      <c r="D2" s="48" t="s">
        <v>163</v>
      </c>
      <c r="E2" s="48" t="s">
        <v>137</v>
      </c>
      <c r="F2" s="48" t="s">
        <v>130</v>
      </c>
      <c r="G2" s="48" t="s">
        <v>137</v>
      </c>
      <c r="H2" s="48" t="s">
        <v>137</v>
      </c>
      <c r="I2" s="48" t="s">
        <v>137</v>
      </c>
      <c r="J2" s="48" t="s">
        <v>164</v>
      </c>
      <c r="K2" s="48" t="s">
        <v>137</v>
      </c>
      <c r="L2" s="48" t="s">
        <v>137</v>
      </c>
      <c r="M2" s="48" t="s">
        <v>137</v>
      </c>
      <c r="N2" s="48" t="s">
        <v>137</v>
      </c>
      <c r="O2" s="48" t="s">
        <v>165</v>
      </c>
    </row>
    <row r="3" spans="1:16" ht="54.75" customHeight="1" x14ac:dyDescent="0.25">
      <c r="A3" s="60">
        <v>179227</v>
      </c>
      <c r="B3" s="48" t="s">
        <v>142</v>
      </c>
      <c r="C3" s="48" t="s">
        <v>144</v>
      </c>
      <c r="D3" s="48" t="s">
        <v>166</v>
      </c>
      <c r="E3" s="48" t="s">
        <v>137</v>
      </c>
      <c r="F3" s="48" t="s">
        <v>137</v>
      </c>
      <c r="G3" s="48" t="s">
        <v>130</v>
      </c>
      <c r="H3" s="48" t="s">
        <v>137</v>
      </c>
      <c r="I3" s="48" t="s">
        <v>137</v>
      </c>
      <c r="J3" s="48" t="s">
        <v>164</v>
      </c>
      <c r="K3" s="48" t="s">
        <v>137</v>
      </c>
      <c r="L3" s="48" t="s">
        <v>137</v>
      </c>
      <c r="M3" s="48" t="s">
        <v>137</v>
      </c>
      <c r="N3" s="48" t="s">
        <v>137</v>
      </c>
      <c r="O3" s="48" t="s">
        <v>167</v>
      </c>
    </row>
    <row r="4" spans="1:16" ht="54.75" customHeight="1" x14ac:dyDescent="0.25">
      <c r="A4" s="60">
        <v>179230</v>
      </c>
      <c r="B4" s="48" t="s">
        <v>145</v>
      </c>
      <c r="C4" s="48" t="s">
        <v>146</v>
      </c>
      <c r="D4" s="48" t="s">
        <v>168</v>
      </c>
      <c r="E4" s="48" t="s">
        <v>137</v>
      </c>
      <c r="F4" s="48" t="s">
        <v>130</v>
      </c>
      <c r="G4" s="48" t="s">
        <v>137</v>
      </c>
      <c r="H4" s="48" t="s">
        <v>137</v>
      </c>
      <c r="I4" s="48" t="s">
        <v>137</v>
      </c>
      <c r="J4" s="48" t="s">
        <v>164</v>
      </c>
      <c r="K4" s="48" t="s">
        <v>137</v>
      </c>
      <c r="L4" s="48" t="s">
        <v>137</v>
      </c>
      <c r="M4" s="48" t="s">
        <v>137</v>
      </c>
      <c r="N4" s="48" t="s">
        <v>130</v>
      </c>
      <c r="O4" s="48" t="s">
        <v>169</v>
      </c>
    </row>
    <row r="5" spans="1:16" ht="54.75" customHeight="1" x14ac:dyDescent="0.25">
      <c r="A5" s="60">
        <v>179242</v>
      </c>
      <c r="B5" s="48" t="s">
        <v>145</v>
      </c>
      <c r="C5" s="48" t="s">
        <v>147</v>
      </c>
      <c r="D5" s="48" t="s">
        <v>170</v>
      </c>
      <c r="E5" s="48" t="s">
        <v>137</v>
      </c>
      <c r="F5" s="48" t="s">
        <v>137</v>
      </c>
      <c r="G5" s="48" t="s">
        <v>137</v>
      </c>
      <c r="H5" s="48" t="s">
        <v>137</v>
      </c>
      <c r="I5" s="48" t="s">
        <v>137</v>
      </c>
      <c r="J5" s="48" t="s">
        <v>164</v>
      </c>
      <c r="K5" s="48" t="s">
        <v>137</v>
      </c>
      <c r="L5" s="48" t="s">
        <v>137</v>
      </c>
      <c r="M5" s="48" t="s">
        <v>137</v>
      </c>
      <c r="N5" s="48" t="s">
        <v>130</v>
      </c>
      <c r="O5" s="48" t="s">
        <v>171</v>
      </c>
    </row>
    <row r="6" spans="1:16" ht="54.75" customHeight="1" x14ac:dyDescent="0.25">
      <c r="A6" s="60">
        <v>179250</v>
      </c>
      <c r="B6" s="48" t="s">
        <v>142</v>
      </c>
      <c r="C6" s="48" t="s">
        <v>144</v>
      </c>
      <c r="D6" s="48" t="s">
        <v>166</v>
      </c>
      <c r="E6" s="48" t="s">
        <v>137</v>
      </c>
      <c r="F6" s="48" t="s">
        <v>137</v>
      </c>
      <c r="G6" s="48" t="s">
        <v>130</v>
      </c>
      <c r="H6" s="48" t="s">
        <v>137</v>
      </c>
      <c r="I6" s="48" t="s">
        <v>137</v>
      </c>
      <c r="J6" s="48" t="s">
        <v>164</v>
      </c>
      <c r="K6" s="48" t="s">
        <v>137</v>
      </c>
      <c r="L6" s="48" t="s">
        <v>137</v>
      </c>
      <c r="M6" s="48" t="s">
        <v>137</v>
      </c>
      <c r="N6" s="48" t="s">
        <v>137</v>
      </c>
      <c r="O6" s="48" t="s">
        <v>167</v>
      </c>
    </row>
    <row r="7" spans="1:16" ht="54.75" customHeight="1" x14ac:dyDescent="0.25">
      <c r="A7" s="60">
        <v>179253</v>
      </c>
      <c r="B7" s="48" t="s">
        <v>148</v>
      </c>
      <c r="C7" s="48" t="s">
        <v>149</v>
      </c>
      <c r="D7" s="48" t="s">
        <v>172</v>
      </c>
      <c r="E7" s="48" t="s">
        <v>130</v>
      </c>
      <c r="F7" s="48" t="s">
        <v>137</v>
      </c>
      <c r="G7" s="48" t="s">
        <v>137</v>
      </c>
      <c r="H7" s="48" t="s">
        <v>137</v>
      </c>
      <c r="I7" s="48" t="s">
        <v>137</v>
      </c>
      <c r="J7" s="48" t="s">
        <v>164</v>
      </c>
      <c r="K7" s="48" t="s">
        <v>137</v>
      </c>
      <c r="L7" s="48" t="s">
        <v>137</v>
      </c>
      <c r="M7" s="48" t="s">
        <v>137</v>
      </c>
      <c r="N7" s="48" t="s">
        <v>137</v>
      </c>
      <c r="O7" s="48" t="s">
        <v>173</v>
      </c>
    </row>
    <row r="8" spans="1:16" ht="54.75" customHeight="1" x14ac:dyDescent="0.25">
      <c r="A8" s="60">
        <v>179269</v>
      </c>
      <c r="B8" s="48" t="s">
        <v>142</v>
      </c>
      <c r="C8" s="48" t="s">
        <v>150</v>
      </c>
      <c r="D8" s="48" t="s">
        <v>174</v>
      </c>
      <c r="E8" s="48" t="s">
        <v>137</v>
      </c>
      <c r="F8" s="48" t="s">
        <v>130</v>
      </c>
      <c r="G8" s="48" t="s">
        <v>130</v>
      </c>
      <c r="H8" s="48" t="s">
        <v>137</v>
      </c>
      <c r="I8" s="48" t="s">
        <v>137</v>
      </c>
      <c r="J8" s="48" t="s">
        <v>164</v>
      </c>
      <c r="K8" s="48" t="s">
        <v>137</v>
      </c>
      <c r="L8" s="48" t="s">
        <v>137</v>
      </c>
      <c r="M8" s="48" t="s">
        <v>137</v>
      </c>
      <c r="N8" s="48" t="s">
        <v>137</v>
      </c>
      <c r="O8" s="48" t="s">
        <v>175</v>
      </c>
    </row>
    <row r="9" spans="1:16" ht="54.75" customHeight="1" x14ac:dyDescent="0.25">
      <c r="A9" s="60">
        <v>179273</v>
      </c>
      <c r="B9" s="48" t="s">
        <v>148</v>
      </c>
      <c r="C9" s="48" t="s">
        <v>151</v>
      </c>
      <c r="D9" s="48"/>
      <c r="E9" s="48" t="s">
        <v>137</v>
      </c>
      <c r="F9" s="48" t="s">
        <v>137</v>
      </c>
      <c r="G9" s="48" t="s">
        <v>137</v>
      </c>
      <c r="H9" s="48" t="s">
        <v>137</v>
      </c>
      <c r="I9" s="48" t="s">
        <v>137</v>
      </c>
      <c r="J9" s="48" t="s">
        <v>164</v>
      </c>
      <c r="K9" s="48" t="s">
        <v>137</v>
      </c>
      <c r="L9" s="48" t="s">
        <v>137</v>
      </c>
      <c r="M9" s="48" t="s">
        <v>137</v>
      </c>
      <c r="N9" s="48" t="s">
        <v>137</v>
      </c>
      <c r="O9" s="48"/>
    </row>
    <row r="10" spans="1:16" ht="54.75" customHeight="1" x14ac:dyDescent="0.25">
      <c r="A10" s="60">
        <v>179281</v>
      </c>
      <c r="B10" s="48" t="s">
        <v>148</v>
      </c>
      <c r="C10" s="48" t="s">
        <v>152</v>
      </c>
      <c r="D10" s="48" t="s">
        <v>176</v>
      </c>
      <c r="E10" s="48" t="s">
        <v>130</v>
      </c>
      <c r="F10" s="48" t="s">
        <v>137</v>
      </c>
      <c r="G10" s="48" t="s">
        <v>137</v>
      </c>
      <c r="H10" s="48" t="s">
        <v>137</v>
      </c>
      <c r="I10" s="48" t="s">
        <v>137</v>
      </c>
      <c r="J10" s="48" t="s">
        <v>164</v>
      </c>
      <c r="K10" s="48" t="s">
        <v>137</v>
      </c>
      <c r="L10" s="48" t="s">
        <v>137</v>
      </c>
      <c r="M10" s="48" t="s">
        <v>137</v>
      </c>
      <c r="N10" s="48" t="s">
        <v>137</v>
      </c>
      <c r="O10" s="48" t="s">
        <v>177</v>
      </c>
    </row>
    <row r="11" spans="1:16" ht="54.75" customHeight="1" x14ac:dyDescent="0.25">
      <c r="A11" s="60">
        <v>179282</v>
      </c>
      <c r="B11" s="48" t="s">
        <v>148</v>
      </c>
      <c r="C11" s="48" t="s">
        <v>153</v>
      </c>
      <c r="D11" s="48" t="s">
        <v>178</v>
      </c>
      <c r="E11" s="48" t="s">
        <v>137</v>
      </c>
      <c r="F11" s="48" t="s">
        <v>137</v>
      </c>
      <c r="G11" s="48" t="s">
        <v>130</v>
      </c>
      <c r="H11" s="48" t="s">
        <v>137</v>
      </c>
      <c r="I11" s="48" t="s">
        <v>137</v>
      </c>
      <c r="J11" s="48" t="s">
        <v>164</v>
      </c>
      <c r="K11" s="48" t="s">
        <v>137</v>
      </c>
      <c r="L11" s="48" t="s">
        <v>137</v>
      </c>
      <c r="M11" s="48" t="s">
        <v>137</v>
      </c>
      <c r="N11" s="48" t="s">
        <v>137</v>
      </c>
      <c r="O11" s="48" t="s">
        <v>179</v>
      </c>
    </row>
    <row r="12" spans="1:16" ht="54.75" customHeight="1" x14ac:dyDescent="0.25">
      <c r="A12" s="60">
        <v>179286</v>
      </c>
      <c r="B12" s="48" t="s">
        <v>148</v>
      </c>
      <c r="C12" s="68" t="s">
        <v>154</v>
      </c>
      <c r="D12" s="48" t="s">
        <v>180</v>
      </c>
      <c r="E12" s="48" t="s">
        <v>130</v>
      </c>
      <c r="F12" s="48" t="s">
        <v>137</v>
      </c>
      <c r="G12" s="48" t="s">
        <v>137</v>
      </c>
      <c r="H12" s="48" t="s">
        <v>137</v>
      </c>
      <c r="I12" s="48" t="s">
        <v>137</v>
      </c>
      <c r="J12" s="48" t="s">
        <v>164</v>
      </c>
      <c r="K12" s="48" t="s">
        <v>137</v>
      </c>
      <c r="L12" s="48" t="s">
        <v>137</v>
      </c>
      <c r="M12" s="48" t="s">
        <v>137</v>
      </c>
      <c r="N12" s="48" t="s">
        <v>130</v>
      </c>
      <c r="O12" s="48" t="s">
        <v>181</v>
      </c>
    </row>
    <row r="13" spans="1:16" ht="54.75" customHeight="1" x14ac:dyDescent="0.25">
      <c r="A13" s="60">
        <v>179287</v>
      </c>
      <c r="B13" s="48" t="s">
        <v>148</v>
      </c>
      <c r="C13" s="48" t="s">
        <v>151</v>
      </c>
      <c r="D13" s="48" t="s">
        <v>182</v>
      </c>
      <c r="E13" s="48" t="s">
        <v>137</v>
      </c>
      <c r="F13" s="48" t="s">
        <v>137</v>
      </c>
      <c r="G13" s="48" t="s">
        <v>137</v>
      </c>
      <c r="H13" s="48" t="s">
        <v>137</v>
      </c>
      <c r="I13" s="48" t="s">
        <v>137</v>
      </c>
      <c r="J13" s="48" t="s">
        <v>164</v>
      </c>
      <c r="K13" s="48" t="s">
        <v>137</v>
      </c>
      <c r="L13" s="48" t="s">
        <v>137</v>
      </c>
      <c r="M13" s="48" t="s">
        <v>137</v>
      </c>
      <c r="N13" s="48" t="s">
        <v>130</v>
      </c>
      <c r="O13" s="48" t="s">
        <v>183</v>
      </c>
    </row>
    <row r="14" spans="1:16" ht="54.75" customHeight="1" x14ac:dyDescent="0.25">
      <c r="A14" s="60">
        <v>179290</v>
      </c>
      <c r="B14" s="48" t="s">
        <v>148</v>
      </c>
      <c r="C14" s="48" t="s">
        <v>151</v>
      </c>
      <c r="D14" s="48"/>
      <c r="E14" s="48" t="s">
        <v>137</v>
      </c>
      <c r="F14" s="48" t="s">
        <v>137</v>
      </c>
      <c r="G14" s="48" t="s">
        <v>137</v>
      </c>
      <c r="H14" s="48" t="s">
        <v>137</v>
      </c>
      <c r="I14" s="48" t="s">
        <v>137</v>
      </c>
      <c r="J14" s="48" t="s">
        <v>164</v>
      </c>
      <c r="K14" s="48" t="s">
        <v>137</v>
      </c>
      <c r="L14" s="48" t="s">
        <v>137</v>
      </c>
      <c r="M14" s="48" t="s">
        <v>137</v>
      </c>
      <c r="N14" s="48" t="s">
        <v>137</v>
      </c>
      <c r="O14" s="48"/>
    </row>
    <row r="15" spans="1:16" ht="54.75" customHeight="1" x14ac:dyDescent="0.25">
      <c r="A15" s="60">
        <v>179292</v>
      </c>
      <c r="B15" s="48" t="s">
        <v>148</v>
      </c>
      <c r="C15" s="48" t="s">
        <v>151</v>
      </c>
      <c r="D15" s="48"/>
      <c r="E15" s="48" t="s">
        <v>137</v>
      </c>
      <c r="F15" s="48" t="s">
        <v>137</v>
      </c>
      <c r="G15" s="48" t="s">
        <v>137</v>
      </c>
      <c r="H15" s="48" t="s">
        <v>137</v>
      </c>
      <c r="I15" s="48" t="s">
        <v>137</v>
      </c>
      <c r="J15" s="48" t="s">
        <v>164</v>
      </c>
      <c r="K15" s="48" t="s">
        <v>137</v>
      </c>
      <c r="L15" s="48" t="s">
        <v>137</v>
      </c>
      <c r="M15" s="48" t="s">
        <v>137</v>
      </c>
      <c r="N15" s="48" t="s">
        <v>137</v>
      </c>
      <c r="O15" s="48"/>
    </row>
    <row r="16" spans="1:16" ht="54.75" customHeight="1" x14ac:dyDescent="0.25">
      <c r="A16" s="60">
        <v>179293</v>
      </c>
      <c r="B16" s="48" t="s">
        <v>148</v>
      </c>
      <c r="C16" s="48" t="s">
        <v>151</v>
      </c>
      <c r="D16" s="48"/>
      <c r="E16" s="48" t="s">
        <v>137</v>
      </c>
      <c r="F16" s="48" t="s">
        <v>137</v>
      </c>
      <c r="G16" s="48" t="s">
        <v>137</v>
      </c>
      <c r="H16" s="48" t="s">
        <v>137</v>
      </c>
      <c r="I16" s="48" t="s">
        <v>137</v>
      </c>
      <c r="J16" s="48" t="s">
        <v>164</v>
      </c>
      <c r="K16" s="48" t="s">
        <v>137</v>
      </c>
      <c r="L16" s="48" t="s">
        <v>137</v>
      </c>
      <c r="M16" s="48" t="s">
        <v>137</v>
      </c>
      <c r="N16" s="48" t="s">
        <v>137</v>
      </c>
      <c r="O16" s="48"/>
    </row>
    <row r="17" spans="1:15" ht="54.75" customHeight="1" x14ac:dyDescent="0.25">
      <c r="A17" s="60">
        <v>179307</v>
      </c>
      <c r="B17" s="48" t="s">
        <v>148</v>
      </c>
      <c r="C17" s="48" t="s">
        <v>155</v>
      </c>
      <c r="D17" s="48" t="s">
        <v>184</v>
      </c>
      <c r="E17" s="48" t="s">
        <v>137</v>
      </c>
      <c r="F17" s="48" t="s">
        <v>137</v>
      </c>
      <c r="G17" s="48" t="s">
        <v>137</v>
      </c>
      <c r="H17" s="48" t="s">
        <v>137</v>
      </c>
      <c r="I17" s="48" t="s">
        <v>137</v>
      </c>
      <c r="J17" s="48" t="s">
        <v>164</v>
      </c>
      <c r="K17" s="48" t="s">
        <v>137</v>
      </c>
      <c r="L17" s="48" t="s">
        <v>137</v>
      </c>
      <c r="M17" s="48" t="s">
        <v>137</v>
      </c>
      <c r="N17" s="48" t="s">
        <v>130</v>
      </c>
      <c r="O17" s="48" t="s">
        <v>185</v>
      </c>
    </row>
    <row r="18" spans="1:15" ht="54.75" customHeight="1" x14ac:dyDescent="0.25">
      <c r="A18" s="60">
        <v>179329</v>
      </c>
      <c r="B18" s="48" t="s">
        <v>148</v>
      </c>
      <c r="C18" s="48" t="s">
        <v>151</v>
      </c>
      <c r="D18" s="48"/>
      <c r="E18" s="48" t="s">
        <v>137</v>
      </c>
      <c r="F18" s="48" t="s">
        <v>137</v>
      </c>
      <c r="G18" s="48" t="s">
        <v>137</v>
      </c>
      <c r="H18" s="48" t="s">
        <v>137</v>
      </c>
      <c r="I18" s="48" t="s">
        <v>137</v>
      </c>
      <c r="J18" s="48" t="s">
        <v>164</v>
      </c>
      <c r="K18" s="48" t="s">
        <v>137</v>
      </c>
      <c r="L18" s="48" t="s">
        <v>137</v>
      </c>
      <c r="M18" s="48" t="s">
        <v>137</v>
      </c>
      <c r="N18" s="48" t="s">
        <v>137</v>
      </c>
      <c r="O18" s="48"/>
    </row>
    <row r="19" spans="1:15" ht="54.75" customHeight="1" x14ac:dyDescent="0.25">
      <c r="A19" s="60">
        <v>179330</v>
      </c>
      <c r="B19" s="48" t="s">
        <v>148</v>
      </c>
      <c r="C19" s="48" t="s">
        <v>151</v>
      </c>
      <c r="D19" s="48"/>
      <c r="E19" s="48" t="s">
        <v>137</v>
      </c>
      <c r="F19" s="48" t="s">
        <v>137</v>
      </c>
      <c r="G19" s="48" t="s">
        <v>137</v>
      </c>
      <c r="H19" s="48" t="s">
        <v>137</v>
      </c>
      <c r="I19" s="48" t="s">
        <v>137</v>
      </c>
      <c r="J19" s="48" t="s">
        <v>164</v>
      </c>
      <c r="K19" s="48" t="s">
        <v>137</v>
      </c>
      <c r="L19" s="48" t="s">
        <v>137</v>
      </c>
      <c r="M19" s="48" t="s">
        <v>137</v>
      </c>
      <c r="N19" s="48" t="s">
        <v>137</v>
      </c>
      <c r="O19" s="48"/>
    </row>
    <row r="20" spans="1:15" ht="54.75" customHeight="1" x14ac:dyDescent="0.25">
      <c r="A20" s="60">
        <v>179332</v>
      </c>
      <c r="B20" s="48" t="s">
        <v>148</v>
      </c>
      <c r="C20" s="48" t="s">
        <v>151</v>
      </c>
      <c r="D20" s="48" t="s">
        <v>182</v>
      </c>
      <c r="E20" s="48" t="s">
        <v>137</v>
      </c>
      <c r="F20" s="48" t="s">
        <v>137</v>
      </c>
      <c r="G20" s="48" t="s">
        <v>137</v>
      </c>
      <c r="H20" s="48" t="s">
        <v>137</v>
      </c>
      <c r="I20" s="48" t="s">
        <v>137</v>
      </c>
      <c r="J20" s="48" t="s">
        <v>164</v>
      </c>
      <c r="K20" s="48" t="s">
        <v>137</v>
      </c>
      <c r="L20" s="48" t="s">
        <v>137</v>
      </c>
      <c r="M20" s="48" t="s">
        <v>137</v>
      </c>
      <c r="N20" s="48" t="s">
        <v>130</v>
      </c>
      <c r="O20" s="48" t="s">
        <v>183</v>
      </c>
    </row>
    <row r="21" spans="1:15" ht="54.75" customHeight="1" x14ac:dyDescent="0.25">
      <c r="A21" s="60">
        <v>179343</v>
      </c>
      <c r="B21" s="48" t="s">
        <v>148</v>
      </c>
      <c r="C21" s="53" t="s">
        <v>156</v>
      </c>
      <c r="D21" s="48" t="s">
        <v>186</v>
      </c>
      <c r="E21" s="48" t="s">
        <v>137</v>
      </c>
      <c r="F21" s="48" t="s">
        <v>137</v>
      </c>
      <c r="G21" s="48" t="s">
        <v>130</v>
      </c>
      <c r="H21" s="48" t="s">
        <v>137</v>
      </c>
      <c r="I21" s="48" t="s">
        <v>137</v>
      </c>
      <c r="J21" s="48" t="s">
        <v>164</v>
      </c>
      <c r="K21" s="48" t="s">
        <v>137</v>
      </c>
      <c r="L21" s="48" t="s">
        <v>137</v>
      </c>
      <c r="M21" s="48" t="s">
        <v>137</v>
      </c>
      <c r="N21" s="48" t="s">
        <v>137</v>
      </c>
      <c r="O21" s="48" t="s">
        <v>187</v>
      </c>
    </row>
    <row r="22" spans="1:15" ht="54.75" customHeight="1" x14ac:dyDescent="0.25">
      <c r="A22" s="60">
        <v>179365</v>
      </c>
      <c r="B22" s="48" t="s">
        <v>148</v>
      </c>
      <c r="C22" s="48" t="s">
        <v>151</v>
      </c>
      <c r="D22" s="48"/>
      <c r="E22" s="48" t="s">
        <v>137</v>
      </c>
      <c r="F22" s="48" t="s">
        <v>137</v>
      </c>
      <c r="G22" s="48" t="s">
        <v>137</v>
      </c>
      <c r="H22" s="48" t="s">
        <v>137</v>
      </c>
      <c r="I22" s="48" t="s">
        <v>137</v>
      </c>
      <c r="J22" s="48" t="s">
        <v>164</v>
      </c>
      <c r="K22" s="48" t="s">
        <v>137</v>
      </c>
      <c r="L22" s="48" t="s">
        <v>137</v>
      </c>
      <c r="M22" s="48" t="s">
        <v>137</v>
      </c>
      <c r="N22" s="48" t="s">
        <v>137</v>
      </c>
      <c r="O22" s="48"/>
    </row>
    <row r="23" spans="1:15" ht="54.75" customHeight="1" x14ac:dyDescent="0.25">
      <c r="A23" s="60">
        <v>179544</v>
      </c>
      <c r="B23" s="48" t="s">
        <v>148</v>
      </c>
      <c r="C23" s="48" t="s">
        <v>151</v>
      </c>
      <c r="D23" s="48"/>
      <c r="E23" s="48" t="s">
        <v>137</v>
      </c>
      <c r="F23" s="48" t="s">
        <v>137</v>
      </c>
      <c r="G23" s="48" t="s">
        <v>137</v>
      </c>
      <c r="H23" s="48" t="s">
        <v>137</v>
      </c>
      <c r="I23" s="48" t="s">
        <v>137</v>
      </c>
      <c r="J23" s="48" t="s">
        <v>164</v>
      </c>
      <c r="K23" s="48" t="s">
        <v>137</v>
      </c>
      <c r="L23" s="48" t="s">
        <v>137</v>
      </c>
      <c r="M23" s="48" t="s">
        <v>137</v>
      </c>
      <c r="N23" s="48" t="s">
        <v>137</v>
      </c>
      <c r="O23" s="48"/>
    </row>
    <row r="24" spans="1:15" ht="54.75" customHeight="1" x14ac:dyDescent="0.25">
      <c r="A24" s="60">
        <v>179547</v>
      </c>
      <c r="B24" s="48" t="s">
        <v>142</v>
      </c>
      <c r="C24" s="48" t="s">
        <v>157</v>
      </c>
      <c r="D24" s="48" t="s">
        <v>188</v>
      </c>
      <c r="E24" s="48" t="s">
        <v>137</v>
      </c>
      <c r="F24" s="48" t="s">
        <v>130</v>
      </c>
      <c r="G24" s="48" t="s">
        <v>137</v>
      </c>
      <c r="H24" s="48" t="s">
        <v>137</v>
      </c>
      <c r="I24" s="48" t="s">
        <v>137</v>
      </c>
      <c r="J24" s="48" t="s">
        <v>164</v>
      </c>
      <c r="K24" s="48" t="s">
        <v>137</v>
      </c>
      <c r="L24" s="48" t="s">
        <v>137</v>
      </c>
      <c r="M24" s="48" t="s">
        <v>137</v>
      </c>
      <c r="N24" s="48" t="s">
        <v>137</v>
      </c>
      <c r="O24" s="48" t="s">
        <v>165</v>
      </c>
    </row>
    <row r="25" spans="1:15" ht="54.75" customHeight="1" x14ac:dyDescent="0.25">
      <c r="A25" s="60">
        <v>179548</v>
      </c>
      <c r="B25" s="48" t="s">
        <v>142</v>
      </c>
      <c r="C25" s="48" t="s">
        <v>158</v>
      </c>
      <c r="D25" s="48" t="s">
        <v>163</v>
      </c>
      <c r="E25" s="48" t="s">
        <v>137</v>
      </c>
      <c r="F25" s="48" t="s">
        <v>130</v>
      </c>
      <c r="G25" s="48" t="s">
        <v>137</v>
      </c>
      <c r="H25" s="48" t="s">
        <v>137</v>
      </c>
      <c r="I25" s="48" t="s">
        <v>137</v>
      </c>
      <c r="J25" s="48" t="s">
        <v>164</v>
      </c>
      <c r="K25" s="48" t="s">
        <v>137</v>
      </c>
      <c r="L25" s="48" t="s">
        <v>137</v>
      </c>
      <c r="M25" s="48" t="s">
        <v>137</v>
      </c>
      <c r="N25" s="48" t="s">
        <v>137</v>
      </c>
      <c r="O25" s="48" t="s">
        <v>165</v>
      </c>
    </row>
    <row r="26" spans="1:15" ht="54.75" customHeight="1" x14ac:dyDescent="0.25">
      <c r="A26" s="60">
        <v>179557</v>
      </c>
      <c r="B26" s="48" t="s">
        <v>148</v>
      </c>
      <c r="C26" s="48" t="s">
        <v>159</v>
      </c>
      <c r="D26" s="48" t="s">
        <v>189</v>
      </c>
      <c r="E26" s="48" t="s">
        <v>130</v>
      </c>
      <c r="F26" s="48" t="s">
        <v>137</v>
      </c>
      <c r="G26" s="48" t="s">
        <v>130</v>
      </c>
      <c r="H26" s="48" t="s">
        <v>137</v>
      </c>
      <c r="I26" s="48" t="s">
        <v>137</v>
      </c>
      <c r="J26" s="48" t="s">
        <v>164</v>
      </c>
      <c r="K26" s="48" t="s">
        <v>137</v>
      </c>
      <c r="L26" s="48" t="s">
        <v>137</v>
      </c>
      <c r="M26" s="48" t="s">
        <v>137</v>
      </c>
      <c r="N26" s="48" t="s">
        <v>137</v>
      </c>
      <c r="O26" s="48" t="s">
        <v>190</v>
      </c>
    </row>
    <row r="27" spans="1:15" ht="54.75" customHeight="1" x14ac:dyDescent="0.25">
      <c r="A27" s="60">
        <v>179566</v>
      </c>
      <c r="B27" s="48" t="s">
        <v>148</v>
      </c>
      <c r="C27" s="48" t="s">
        <v>151</v>
      </c>
      <c r="D27" s="48"/>
      <c r="E27" s="48" t="s">
        <v>137</v>
      </c>
      <c r="F27" s="48" t="s">
        <v>137</v>
      </c>
      <c r="G27" s="48" t="s">
        <v>137</v>
      </c>
      <c r="H27" s="48" t="s">
        <v>137</v>
      </c>
      <c r="I27" s="48" t="s">
        <v>137</v>
      </c>
      <c r="J27" s="48" t="s">
        <v>164</v>
      </c>
      <c r="K27" s="48" t="s">
        <v>137</v>
      </c>
      <c r="L27" s="48" t="s">
        <v>137</v>
      </c>
      <c r="M27" s="48" t="s">
        <v>137</v>
      </c>
      <c r="N27" s="48" t="s">
        <v>137</v>
      </c>
      <c r="O27" s="48"/>
    </row>
    <row r="28" spans="1:15" ht="54.75" customHeight="1" x14ac:dyDescent="0.25">
      <c r="A28" s="60">
        <v>179567</v>
      </c>
      <c r="B28" s="48" t="s">
        <v>148</v>
      </c>
      <c r="C28" s="48" t="s">
        <v>160</v>
      </c>
      <c r="D28" s="48" t="s">
        <v>186</v>
      </c>
      <c r="E28" s="48" t="s">
        <v>137</v>
      </c>
      <c r="F28" s="48" t="s">
        <v>137</v>
      </c>
      <c r="G28" s="48" t="s">
        <v>130</v>
      </c>
      <c r="H28" s="48" t="s">
        <v>137</v>
      </c>
      <c r="I28" s="48" t="s">
        <v>137</v>
      </c>
      <c r="J28" s="48" t="s">
        <v>164</v>
      </c>
      <c r="K28" s="48" t="s">
        <v>137</v>
      </c>
      <c r="L28" s="48" t="s">
        <v>137</v>
      </c>
      <c r="M28" s="48" t="s">
        <v>137</v>
      </c>
      <c r="N28" s="48" t="s">
        <v>137</v>
      </c>
      <c r="O28" s="48" t="s">
        <v>187</v>
      </c>
    </row>
    <row r="29" spans="1:15" ht="54.75" customHeight="1" x14ac:dyDescent="0.25">
      <c r="A29" s="60">
        <v>179568</v>
      </c>
      <c r="B29" s="48" t="s">
        <v>142</v>
      </c>
      <c r="C29" s="48" t="s">
        <v>161</v>
      </c>
      <c r="D29" s="48" t="s">
        <v>163</v>
      </c>
      <c r="E29" s="48" t="s">
        <v>137</v>
      </c>
      <c r="F29" s="48" t="s">
        <v>130</v>
      </c>
      <c r="G29" s="48" t="s">
        <v>137</v>
      </c>
      <c r="H29" s="48" t="s">
        <v>137</v>
      </c>
      <c r="I29" s="48" t="s">
        <v>137</v>
      </c>
      <c r="J29" s="48" t="s">
        <v>164</v>
      </c>
      <c r="K29" s="48" t="s">
        <v>137</v>
      </c>
      <c r="L29" s="48" t="s">
        <v>137</v>
      </c>
      <c r="M29" s="48" t="s">
        <v>137</v>
      </c>
      <c r="N29" s="48" t="s">
        <v>137</v>
      </c>
      <c r="O29" s="48" t="s">
        <v>165</v>
      </c>
    </row>
    <row r="30" spans="1:15" ht="54.75" customHeight="1" x14ac:dyDescent="0.25">
      <c r="A30" s="60">
        <v>179572</v>
      </c>
      <c r="B30" s="48" t="s">
        <v>148</v>
      </c>
      <c r="C30" s="48" t="s">
        <v>151</v>
      </c>
      <c r="D30" s="48"/>
      <c r="E30" s="48" t="s">
        <v>137</v>
      </c>
      <c r="F30" s="48" t="s">
        <v>137</v>
      </c>
      <c r="G30" s="48" t="s">
        <v>137</v>
      </c>
      <c r="H30" s="48" t="s">
        <v>137</v>
      </c>
      <c r="I30" s="48" t="s">
        <v>137</v>
      </c>
      <c r="J30" s="48" t="s">
        <v>164</v>
      </c>
      <c r="K30" s="48" t="s">
        <v>137</v>
      </c>
      <c r="L30" s="48" t="s">
        <v>137</v>
      </c>
      <c r="M30" s="48" t="s">
        <v>137</v>
      </c>
      <c r="N30" s="48" t="s">
        <v>137</v>
      </c>
      <c r="O30" s="48"/>
    </row>
    <row r="31" spans="1:15" ht="54.75" customHeight="1" x14ac:dyDescent="0.25">
      <c r="A31" s="60">
        <v>179573</v>
      </c>
      <c r="B31" s="48" t="s">
        <v>148</v>
      </c>
      <c r="C31" s="48" t="s">
        <v>162</v>
      </c>
      <c r="D31" s="48" t="s">
        <v>163</v>
      </c>
      <c r="E31" s="48" t="s">
        <v>137</v>
      </c>
      <c r="F31" s="48" t="s">
        <v>130</v>
      </c>
      <c r="G31" s="48" t="s">
        <v>137</v>
      </c>
      <c r="H31" s="48" t="s">
        <v>137</v>
      </c>
      <c r="I31" s="48" t="s">
        <v>137</v>
      </c>
      <c r="J31" s="48" t="s">
        <v>164</v>
      </c>
      <c r="K31" s="48" t="s">
        <v>137</v>
      </c>
      <c r="L31" s="48" t="s">
        <v>137</v>
      </c>
      <c r="M31" s="48" t="s">
        <v>137</v>
      </c>
      <c r="N31" s="48" t="s">
        <v>137</v>
      </c>
      <c r="O31" s="48" t="s">
        <v>165</v>
      </c>
    </row>
  </sheetData>
  <autoFilter ref="A1:O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4"/>
  <sheetViews>
    <sheetView tabSelected="1" workbookViewId="0">
      <selection activeCell="C2" sqref="C2"/>
    </sheetView>
  </sheetViews>
  <sheetFormatPr defaultRowHeight="15" x14ac:dyDescent="0.25"/>
  <cols>
    <col min="2" max="2" width="12.140625" customWidth="1"/>
    <col min="3" max="3" width="62.7109375" customWidth="1"/>
  </cols>
  <sheetData>
    <row r="1" spans="1:3" ht="39" thickBot="1" x14ac:dyDescent="0.3">
      <c r="A1" s="4" t="s">
        <v>5</v>
      </c>
      <c r="B1" s="34" t="s">
        <v>75</v>
      </c>
    </row>
    <row r="2" spans="1:3" x14ac:dyDescent="0.25">
      <c r="A2" s="60">
        <v>179269</v>
      </c>
      <c r="B2" s="54">
        <v>1</v>
      </c>
      <c r="C2" s="11"/>
    </row>
    <row r="3" spans="1:3" x14ac:dyDescent="0.25">
      <c r="A3" s="60">
        <v>179286</v>
      </c>
      <c r="B3" s="54">
        <v>1</v>
      </c>
    </row>
    <row r="4" spans="1:3" x14ac:dyDescent="0.25">
      <c r="A4" s="60">
        <v>179343</v>
      </c>
      <c r="B4" s="54">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M2"/>
  <sheetViews>
    <sheetView workbookViewId="0">
      <selection activeCell="L2" sqref="L2"/>
    </sheetView>
  </sheetViews>
  <sheetFormatPr defaultRowHeight="15" x14ac:dyDescent="0.25"/>
  <cols>
    <col min="6" max="6" width="10" customWidth="1"/>
    <col min="12" max="12" width="13.28515625" customWidth="1"/>
    <col min="13" max="13" width="12.85546875" customWidth="1"/>
  </cols>
  <sheetData>
    <row r="1" spans="1:13" ht="65.25" customHeight="1" thickBot="1" x14ac:dyDescent="0.3">
      <c r="A1" s="4" t="s">
        <v>5</v>
      </c>
      <c r="B1" s="9" t="s">
        <v>42</v>
      </c>
      <c r="C1" s="1"/>
      <c r="D1" s="1"/>
      <c r="E1" s="4" t="s">
        <v>5</v>
      </c>
      <c r="F1" s="9" t="s">
        <v>76</v>
      </c>
      <c r="G1" s="9" t="s">
        <v>129</v>
      </c>
      <c r="H1" s="1"/>
      <c r="I1" s="1"/>
      <c r="J1" s="1"/>
      <c r="K1" s="29" t="s">
        <v>5</v>
      </c>
      <c r="L1" s="30" t="s">
        <v>79</v>
      </c>
      <c r="M1" s="30" t="s">
        <v>80</v>
      </c>
    </row>
    <row r="2" spans="1:13" x14ac:dyDescent="0.25">
      <c r="B2" s="48" t="s">
        <v>130</v>
      </c>
      <c r="F2" s="48" t="s">
        <v>140</v>
      </c>
      <c r="L2" t="s">
        <v>245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B3"/>
  <sheetViews>
    <sheetView workbookViewId="0">
      <selection activeCell="B2" sqref="B2"/>
    </sheetView>
  </sheetViews>
  <sheetFormatPr defaultRowHeight="15" x14ac:dyDescent="0.25"/>
  <sheetData>
    <row r="1" spans="1:2" ht="38.25" x14ac:dyDescent="0.25">
      <c r="A1" s="29" t="s">
        <v>5</v>
      </c>
      <c r="B1" s="35" t="s">
        <v>77</v>
      </c>
    </row>
    <row r="2" spans="1:2" x14ac:dyDescent="0.25">
      <c r="A2" s="60">
        <v>179550</v>
      </c>
      <c r="B2" s="48" t="s">
        <v>140</v>
      </c>
    </row>
    <row r="3" spans="1:2" x14ac:dyDescent="0.25">
      <c r="A3" s="60">
        <v>179559</v>
      </c>
      <c r="B3" s="48" t="s">
        <v>140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1"/>
  <sheetViews>
    <sheetView workbookViewId="0"/>
  </sheetViews>
  <sheetFormatPr defaultColWidth="12.28515625" defaultRowHeight="63" customHeight="1" x14ac:dyDescent="0.25"/>
  <sheetData>
    <row r="1" spans="1:11" ht="63" customHeight="1" x14ac:dyDescent="0.25">
      <c r="A1" s="29" t="s">
        <v>5</v>
      </c>
      <c r="B1" s="33" t="s">
        <v>82</v>
      </c>
      <c r="C1" s="33" t="s">
        <v>86</v>
      </c>
      <c r="D1" s="33" t="s">
        <v>83</v>
      </c>
      <c r="E1" s="33" t="s">
        <v>84</v>
      </c>
      <c r="F1" s="33" t="s">
        <v>61</v>
      </c>
      <c r="G1" s="33" t="s">
        <v>87</v>
      </c>
      <c r="H1" s="33" t="s">
        <v>85</v>
      </c>
      <c r="I1" s="33" t="s">
        <v>36</v>
      </c>
      <c r="J1" s="2" t="s">
        <v>47</v>
      </c>
      <c r="K1" s="2" t="s">
        <v>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Q71"/>
  <sheetViews>
    <sheetView workbookViewId="0">
      <selection activeCell="I5" sqref="I5"/>
    </sheetView>
  </sheetViews>
  <sheetFormatPr defaultRowHeight="15" x14ac:dyDescent="0.25"/>
  <cols>
    <col min="2" max="2" width="9.42578125" bestFit="1" customWidth="1"/>
    <col min="5" max="5" width="14.5703125" bestFit="1" customWidth="1"/>
    <col min="6" max="6" width="7.5703125" bestFit="1" customWidth="1"/>
    <col min="7" max="7" width="17" bestFit="1" customWidth="1"/>
    <col min="11" max="11" width="9.42578125" customWidth="1"/>
  </cols>
  <sheetData>
    <row r="1" spans="1:17" ht="15.75" thickBot="1" x14ac:dyDescent="0.3">
      <c r="A1" s="13" t="s">
        <v>43</v>
      </c>
      <c r="B1" s="14" t="s">
        <v>44</v>
      </c>
      <c r="D1" s="55" t="s">
        <v>191</v>
      </c>
      <c r="E1" s="55" t="s">
        <v>192</v>
      </c>
      <c r="F1" s="56" t="s">
        <v>193</v>
      </c>
      <c r="G1" s="55" t="s">
        <v>194</v>
      </c>
      <c r="J1" s="13" t="s">
        <v>45</v>
      </c>
      <c r="K1" s="14" t="s">
        <v>44</v>
      </c>
      <c r="Q1" s="15" t="s">
        <v>46</v>
      </c>
    </row>
    <row r="2" spans="1:17" ht="15.75" thickBot="1" x14ac:dyDescent="0.3">
      <c r="D2" s="57">
        <v>179293</v>
      </c>
      <c r="E2" s="57" t="s">
        <v>195</v>
      </c>
      <c r="F2" s="58" t="s">
        <v>196</v>
      </c>
      <c r="G2" s="57" t="s">
        <v>197</v>
      </c>
    </row>
    <row r="3" spans="1:17" ht="15.75" thickBot="1" x14ac:dyDescent="0.3">
      <c r="D3" s="57">
        <v>179573</v>
      </c>
      <c r="E3" s="57" t="s">
        <v>198</v>
      </c>
      <c r="F3" s="58" t="s">
        <v>196</v>
      </c>
      <c r="G3" s="57" t="s">
        <v>197</v>
      </c>
    </row>
    <row r="4" spans="1:17" ht="15.75" thickBot="1" x14ac:dyDescent="0.3">
      <c r="D4" s="57">
        <v>179285</v>
      </c>
      <c r="E4" s="57" t="s">
        <v>199</v>
      </c>
      <c r="F4" s="58" t="s">
        <v>196</v>
      </c>
      <c r="G4" s="57" t="s">
        <v>200</v>
      </c>
    </row>
    <row r="5" spans="1:17" ht="15.75" thickBot="1" x14ac:dyDescent="0.3">
      <c r="D5" s="57">
        <v>179568</v>
      </c>
      <c r="E5" s="57" t="s">
        <v>199</v>
      </c>
      <c r="F5" s="58" t="s">
        <v>196</v>
      </c>
      <c r="G5" s="57" t="s">
        <v>201</v>
      </c>
    </row>
    <row r="6" spans="1:17" ht="15.75" thickBot="1" x14ac:dyDescent="0.3">
      <c r="D6" s="57">
        <v>179225</v>
      </c>
      <c r="E6" s="57" t="s">
        <v>199</v>
      </c>
      <c r="F6" s="58" t="s">
        <v>196</v>
      </c>
      <c r="G6" s="57" t="s">
        <v>202</v>
      </c>
    </row>
    <row r="7" spans="1:17" ht="15.75" thickBot="1" x14ac:dyDescent="0.3">
      <c r="D7" s="57">
        <v>179567</v>
      </c>
      <c r="E7" s="57" t="s">
        <v>199</v>
      </c>
      <c r="F7" s="58" t="s">
        <v>196</v>
      </c>
      <c r="G7" s="57" t="s">
        <v>203</v>
      </c>
    </row>
    <row r="8" spans="1:17" ht="15.75" thickBot="1" x14ac:dyDescent="0.3">
      <c r="D8" s="57">
        <v>179273</v>
      </c>
      <c r="E8" s="57" t="s">
        <v>199</v>
      </c>
      <c r="F8" s="58" t="s">
        <v>196</v>
      </c>
      <c r="G8" s="57" t="s">
        <v>204</v>
      </c>
    </row>
    <row r="9" spans="1:17" ht="15.75" thickBot="1" x14ac:dyDescent="0.3">
      <c r="D9" s="57">
        <v>179574</v>
      </c>
      <c r="E9" s="57" t="s">
        <v>205</v>
      </c>
      <c r="F9" s="58" t="s">
        <v>196</v>
      </c>
      <c r="G9" s="57" t="s">
        <v>206</v>
      </c>
    </row>
    <row r="10" spans="1:17" ht="15.75" thickBot="1" x14ac:dyDescent="0.3">
      <c r="D10" s="57">
        <v>179231</v>
      </c>
      <c r="E10" s="57" t="s">
        <v>205</v>
      </c>
      <c r="F10" s="58" t="s">
        <v>196</v>
      </c>
      <c r="G10" s="57" t="s">
        <v>207</v>
      </c>
    </row>
    <row r="11" spans="1:17" ht="15.75" thickBot="1" x14ac:dyDescent="0.3">
      <c r="D11" s="57">
        <v>179270</v>
      </c>
      <c r="E11" s="57" t="s">
        <v>205</v>
      </c>
      <c r="F11" s="58" t="s">
        <v>196</v>
      </c>
      <c r="G11" s="57" t="s">
        <v>208</v>
      </c>
    </row>
    <row r="12" spans="1:17" ht="15.75" thickBot="1" x14ac:dyDescent="0.3">
      <c r="D12" s="57">
        <v>179242</v>
      </c>
      <c r="E12" s="57" t="s">
        <v>205</v>
      </c>
      <c r="F12" s="58" t="s">
        <v>196</v>
      </c>
      <c r="G12" s="57" t="s">
        <v>207</v>
      </c>
    </row>
    <row r="13" spans="1:17" ht="15.75" thickBot="1" x14ac:dyDescent="0.3">
      <c r="D13" s="57">
        <v>179292</v>
      </c>
      <c r="E13" s="57" t="s">
        <v>205</v>
      </c>
      <c r="F13" s="58" t="s">
        <v>196</v>
      </c>
      <c r="G13" s="57" t="s">
        <v>208</v>
      </c>
    </row>
    <row r="14" spans="1:17" ht="15.75" thickBot="1" x14ac:dyDescent="0.3">
      <c r="D14" s="57">
        <v>179281</v>
      </c>
      <c r="E14" s="57" t="s">
        <v>198</v>
      </c>
      <c r="F14" s="58" t="s">
        <v>196</v>
      </c>
      <c r="G14" s="57" t="s">
        <v>209</v>
      </c>
    </row>
    <row r="15" spans="1:17" ht="15.75" thickBot="1" x14ac:dyDescent="0.3">
      <c r="D15" s="57">
        <v>179304</v>
      </c>
      <c r="E15" s="57" t="s">
        <v>210</v>
      </c>
      <c r="F15" s="58" t="s">
        <v>196</v>
      </c>
      <c r="G15" s="57" t="s">
        <v>211</v>
      </c>
    </row>
    <row r="16" spans="1:17" ht="15.75" thickBot="1" x14ac:dyDescent="0.3">
      <c r="D16" s="57">
        <v>179577</v>
      </c>
      <c r="E16" s="57" t="s">
        <v>210</v>
      </c>
      <c r="F16" s="58" t="s">
        <v>196</v>
      </c>
      <c r="G16" s="57" t="s">
        <v>212</v>
      </c>
    </row>
    <row r="17" spans="4:7" ht="15.75" thickBot="1" x14ac:dyDescent="0.3">
      <c r="D17" s="57">
        <v>179535</v>
      </c>
      <c r="E17" s="57" t="s">
        <v>210</v>
      </c>
      <c r="F17" s="58" t="s">
        <v>196</v>
      </c>
      <c r="G17" s="57" t="s">
        <v>213</v>
      </c>
    </row>
    <row r="18" spans="4:7" ht="15.75" thickBot="1" x14ac:dyDescent="0.3">
      <c r="D18" s="57">
        <v>179559</v>
      </c>
      <c r="E18" s="57" t="s">
        <v>210</v>
      </c>
      <c r="F18" s="58" t="s">
        <v>196</v>
      </c>
      <c r="G18" s="57" t="s">
        <v>214</v>
      </c>
    </row>
    <row r="19" spans="4:7" ht="15.75" thickBot="1" x14ac:dyDescent="0.3">
      <c r="D19" s="57">
        <v>179282</v>
      </c>
      <c r="E19" s="57" t="s">
        <v>210</v>
      </c>
      <c r="F19" s="58" t="s">
        <v>196</v>
      </c>
      <c r="G19" s="57" t="s">
        <v>208</v>
      </c>
    </row>
    <row r="20" spans="4:7" ht="15.75" thickBot="1" x14ac:dyDescent="0.3">
      <c r="D20" s="57">
        <v>179295</v>
      </c>
      <c r="E20" s="57" t="s">
        <v>215</v>
      </c>
      <c r="F20" s="58" t="s">
        <v>196</v>
      </c>
      <c r="G20" s="57" t="s">
        <v>216</v>
      </c>
    </row>
    <row r="21" spans="4:7" ht="15.75" thickBot="1" x14ac:dyDescent="0.3">
      <c r="D21" s="57">
        <v>179548</v>
      </c>
      <c r="E21" s="57" t="s">
        <v>217</v>
      </c>
      <c r="F21" s="58" t="s">
        <v>196</v>
      </c>
      <c r="G21" s="57" t="s">
        <v>218</v>
      </c>
    </row>
    <row r="22" spans="4:7" ht="15.75" thickBot="1" x14ac:dyDescent="0.3">
      <c r="D22" s="57">
        <v>179230</v>
      </c>
      <c r="E22" s="57" t="s">
        <v>219</v>
      </c>
      <c r="F22" s="58" t="s">
        <v>196</v>
      </c>
      <c r="G22" s="57" t="s">
        <v>200</v>
      </c>
    </row>
    <row r="23" spans="4:7" ht="15.75" thickBot="1" x14ac:dyDescent="0.3">
      <c r="D23" s="57">
        <v>179575</v>
      </c>
      <c r="E23" s="57" t="s">
        <v>220</v>
      </c>
      <c r="F23" s="58" t="s">
        <v>196</v>
      </c>
      <c r="G23" s="57" t="s">
        <v>202</v>
      </c>
    </row>
    <row r="24" spans="4:7" ht="15.75" thickBot="1" x14ac:dyDescent="0.3">
      <c r="D24" s="57">
        <v>179576</v>
      </c>
      <c r="E24" s="57" t="s">
        <v>199</v>
      </c>
      <c r="F24" s="58" t="s">
        <v>196</v>
      </c>
      <c r="G24" s="57" t="s">
        <v>203</v>
      </c>
    </row>
    <row r="25" spans="4:7" ht="15.75" thickBot="1" x14ac:dyDescent="0.3">
      <c r="D25" s="57">
        <v>179294</v>
      </c>
      <c r="E25" s="57" t="s">
        <v>195</v>
      </c>
      <c r="F25" s="58" t="s">
        <v>196</v>
      </c>
      <c r="G25" s="57" t="s">
        <v>214</v>
      </c>
    </row>
    <row r="26" spans="4:7" ht="15.75" thickBot="1" x14ac:dyDescent="0.3">
      <c r="D26" s="57">
        <v>179307</v>
      </c>
      <c r="E26" s="57" t="s">
        <v>221</v>
      </c>
      <c r="F26" s="58" t="s">
        <v>196</v>
      </c>
      <c r="G26" s="57" t="s">
        <v>222</v>
      </c>
    </row>
    <row r="27" spans="4:7" ht="15.75" thickBot="1" x14ac:dyDescent="0.3">
      <c r="D27" s="57">
        <v>179562</v>
      </c>
      <c r="E27" s="57" t="s">
        <v>220</v>
      </c>
      <c r="F27" s="58" t="s">
        <v>196</v>
      </c>
      <c r="G27" s="57" t="s">
        <v>216</v>
      </c>
    </row>
    <row r="28" spans="4:7" ht="15.75" thickBot="1" x14ac:dyDescent="0.3">
      <c r="D28" s="57">
        <v>179572</v>
      </c>
      <c r="E28" s="57" t="s">
        <v>199</v>
      </c>
      <c r="F28" s="58" t="s">
        <v>196</v>
      </c>
      <c r="G28" s="57" t="s">
        <v>223</v>
      </c>
    </row>
    <row r="29" spans="4:7" ht="15.75" thickBot="1" x14ac:dyDescent="0.3">
      <c r="D29" s="57">
        <v>179569</v>
      </c>
      <c r="E29" s="57" t="s">
        <v>224</v>
      </c>
      <c r="F29" s="58" t="s">
        <v>196</v>
      </c>
      <c r="G29" s="57" t="s">
        <v>203</v>
      </c>
    </row>
    <row r="30" spans="4:7" ht="15.75" thickBot="1" x14ac:dyDescent="0.3">
      <c r="D30" s="57">
        <v>179570</v>
      </c>
      <c r="E30" s="57" t="s">
        <v>225</v>
      </c>
      <c r="F30" s="58" t="s">
        <v>196</v>
      </c>
      <c r="G30" s="57" t="s">
        <v>203</v>
      </c>
    </row>
    <row r="31" spans="4:7" ht="15.75" thickBot="1" x14ac:dyDescent="0.3">
      <c r="D31" s="57">
        <v>179246</v>
      </c>
      <c r="E31" s="57" t="s">
        <v>217</v>
      </c>
      <c r="F31" s="58" t="s">
        <v>196</v>
      </c>
      <c r="G31" s="57" t="s">
        <v>202</v>
      </c>
    </row>
    <row r="32" spans="4:7" ht="15.75" thickBot="1" x14ac:dyDescent="0.3">
      <c r="D32" s="57">
        <v>179546</v>
      </c>
      <c r="E32" s="57" t="s">
        <v>219</v>
      </c>
      <c r="F32" s="58" t="s">
        <v>196</v>
      </c>
      <c r="G32" s="57" t="s">
        <v>204</v>
      </c>
    </row>
    <row r="33" spans="4:7" ht="15.75" thickBot="1" x14ac:dyDescent="0.3">
      <c r="D33" s="57">
        <v>179547</v>
      </c>
      <c r="E33" s="57" t="s">
        <v>226</v>
      </c>
      <c r="F33" s="58" t="s">
        <v>196</v>
      </c>
      <c r="G33" s="57" t="s">
        <v>227</v>
      </c>
    </row>
    <row r="34" spans="4:7" ht="15.75" thickBot="1" x14ac:dyDescent="0.3">
      <c r="D34" s="57">
        <v>179549</v>
      </c>
      <c r="E34" s="57" t="s">
        <v>226</v>
      </c>
      <c r="F34" s="58" t="s">
        <v>196</v>
      </c>
      <c r="G34" s="57" t="s">
        <v>222</v>
      </c>
    </row>
    <row r="35" spans="4:7" ht="15.75" thickBot="1" x14ac:dyDescent="0.3">
      <c r="D35" s="57">
        <v>179550</v>
      </c>
      <c r="E35" s="57" t="s">
        <v>212</v>
      </c>
      <c r="F35" s="58" t="s">
        <v>196</v>
      </c>
      <c r="G35" s="57" t="s">
        <v>228</v>
      </c>
    </row>
    <row r="36" spans="4:7" ht="15.75" thickBot="1" x14ac:dyDescent="0.3">
      <c r="D36" s="57">
        <v>179552</v>
      </c>
      <c r="E36" s="57" t="s">
        <v>229</v>
      </c>
      <c r="F36" s="58" t="s">
        <v>196</v>
      </c>
      <c r="G36" s="57" t="s">
        <v>230</v>
      </c>
    </row>
    <row r="37" spans="4:7" ht="15.75" thickBot="1" x14ac:dyDescent="0.3">
      <c r="D37" s="57">
        <v>179558</v>
      </c>
      <c r="E37" s="57" t="s">
        <v>231</v>
      </c>
      <c r="F37" s="58" t="s">
        <v>196</v>
      </c>
      <c r="G37" s="57" t="s">
        <v>232</v>
      </c>
    </row>
    <row r="38" spans="4:7" ht="15.75" thickBot="1" x14ac:dyDescent="0.3">
      <c r="D38" s="57">
        <v>179564</v>
      </c>
      <c r="E38" s="57" t="s">
        <v>212</v>
      </c>
      <c r="F38" s="58" t="s">
        <v>196</v>
      </c>
      <c r="G38" s="57" t="s">
        <v>201</v>
      </c>
    </row>
    <row r="39" spans="4:7" ht="15.75" thickBot="1" x14ac:dyDescent="0.3">
      <c r="D39" s="57">
        <v>179565</v>
      </c>
      <c r="E39" s="57" t="s">
        <v>229</v>
      </c>
      <c r="F39" s="58" t="s">
        <v>196</v>
      </c>
      <c r="G39" s="57" t="s">
        <v>202</v>
      </c>
    </row>
    <row r="40" spans="4:7" ht="15.75" thickBot="1" x14ac:dyDescent="0.3">
      <c r="D40" s="57">
        <v>179258</v>
      </c>
      <c r="E40" s="57" t="s">
        <v>231</v>
      </c>
      <c r="F40" s="58" t="s">
        <v>196</v>
      </c>
      <c r="G40" s="57" t="s">
        <v>233</v>
      </c>
    </row>
    <row r="41" spans="4:7" ht="15.75" thickBot="1" x14ac:dyDescent="0.3">
      <c r="D41" s="57">
        <v>179260</v>
      </c>
      <c r="E41" s="57" t="s">
        <v>234</v>
      </c>
      <c r="F41" s="58" t="s">
        <v>196</v>
      </c>
      <c r="G41" s="57" t="s">
        <v>233</v>
      </c>
    </row>
    <row r="42" spans="4:7" ht="15.75" thickBot="1" x14ac:dyDescent="0.3">
      <c r="D42" s="57">
        <v>179276</v>
      </c>
      <c r="E42" s="57" t="s">
        <v>220</v>
      </c>
      <c r="F42" s="58" t="s">
        <v>196</v>
      </c>
      <c r="G42" s="57" t="s">
        <v>235</v>
      </c>
    </row>
    <row r="43" spans="4:7" ht="15.75" thickBot="1" x14ac:dyDescent="0.3">
      <c r="D43" s="57">
        <v>179290</v>
      </c>
      <c r="E43" s="57" t="s">
        <v>199</v>
      </c>
      <c r="F43" s="58" t="s">
        <v>196</v>
      </c>
      <c r="G43" s="57" t="s">
        <v>236</v>
      </c>
    </row>
    <row r="44" spans="4:7" ht="15.75" thickBot="1" x14ac:dyDescent="0.3">
      <c r="D44" s="57">
        <v>179250</v>
      </c>
      <c r="E44" s="57" t="s">
        <v>224</v>
      </c>
      <c r="F44" s="58" t="s">
        <v>196</v>
      </c>
      <c r="G44" s="57" t="s">
        <v>204</v>
      </c>
    </row>
    <row r="45" spans="4:7" ht="15.75" thickBot="1" x14ac:dyDescent="0.3">
      <c r="D45" s="57">
        <v>179253</v>
      </c>
      <c r="E45" s="57" t="s">
        <v>237</v>
      </c>
      <c r="F45" s="58" t="s">
        <v>196</v>
      </c>
      <c r="G45" s="57" t="s">
        <v>227</v>
      </c>
    </row>
    <row r="46" spans="4:7" ht="15.75" thickBot="1" x14ac:dyDescent="0.3">
      <c r="D46" s="57">
        <v>179280</v>
      </c>
      <c r="E46" s="57" t="s">
        <v>225</v>
      </c>
      <c r="F46" s="58" t="s">
        <v>196</v>
      </c>
      <c r="G46" s="57" t="s">
        <v>218</v>
      </c>
    </row>
    <row r="47" spans="4:7" ht="15.75" thickBot="1" x14ac:dyDescent="0.3">
      <c r="D47" s="57">
        <v>179220</v>
      </c>
      <c r="E47" s="57" t="s">
        <v>217</v>
      </c>
      <c r="F47" s="58" t="s">
        <v>196</v>
      </c>
      <c r="G47" s="57" t="s">
        <v>222</v>
      </c>
    </row>
    <row r="48" spans="4:7" ht="15.75" thickBot="1" x14ac:dyDescent="0.3">
      <c r="D48" s="57">
        <v>179238</v>
      </c>
      <c r="E48" s="57" t="s">
        <v>210</v>
      </c>
      <c r="F48" s="58" t="s">
        <v>196</v>
      </c>
      <c r="G48" s="57" t="s">
        <v>228</v>
      </c>
    </row>
    <row r="49" spans="4:7" ht="15.75" thickBot="1" x14ac:dyDescent="0.3">
      <c r="D49" s="57">
        <v>179226</v>
      </c>
      <c r="E49" s="57" t="s">
        <v>219</v>
      </c>
      <c r="F49" s="58" t="s">
        <v>196</v>
      </c>
      <c r="G49" s="57" t="s">
        <v>230</v>
      </c>
    </row>
    <row r="50" spans="4:7" ht="15.75" thickBot="1" x14ac:dyDescent="0.3">
      <c r="D50" s="57">
        <v>179227</v>
      </c>
      <c r="E50" s="57" t="s">
        <v>226</v>
      </c>
      <c r="F50" s="58" t="s">
        <v>196</v>
      </c>
      <c r="G50" s="57" t="s">
        <v>232</v>
      </c>
    </row>
    <row r="51" spans="4:7" ht="15.75" thickBot="1" x14ac:dyDescent="0.3">
      <c r="D51" s="57">
        <v>179557</v>
      </c>
      <c r="E51" s="57" t="s">
        <v>220</v>
      </c>
      <c r="F51" s="58" t="s">
        <v>196</v>
      </c>
      <c r="G51" s="57" t="s">
        <v>216</v>
      </c>
    </row>
    <row r="52" spans="4:7" ht="15.75" thickBot="1" x14ac:dyDescent="0.3">
      <c r="D52" s="57">
        <v>179566</v>
      </c>
      <c r="E52" s="57" t="s">
        <v>220</v>
      </c>
      <c r="F52" s="58" t="s">
        <v>196</v>
      </c>
      <c r="G52" s="57" t="s">
        <v>200</v>
      </c>
    </row>
    <row r="53" spans="4:7" ht="15.75" thickBot="1" x14ac:dyDescent="0.3">
      <c r="D53" s="57">
        <v>179330</v>
      </c>
      <c r="E53" s="57" t="s">
        <v>220</v>
      </c>
      <c r="F53" s="58" t="s">
        <v>196</v>
      </c>
      <c r="G53" s="57" t="s">
        <v>197</v>
      </c>
    </row>
    <row r="54" spans="4:7" ht="15.75" thickBot="1" x14ac:dyDescent="0.3">
      <c r="D54" s="57">
        <v>179332</v>
      </c>
      <c r="E54" s="57" t="s">
        <v>220</v>
      </c>
      <c r="F54" s="58" t="s">
        <v>196</v>
      </c>
      <c r="G54" s="57" t="s">
        <v>238</v>
      </c>
    </row>
    <row r="55" spans="4:7" ht="15.75" thickBot="1" x14ac:dyDescent="0.3">
      <c r="D55" s="57">
        <v>179275</v>
      </c>
      <c r="E55" s="57" t="s">
        <v>220</v>
      </c>
      <c r="F55" s="58" t="s">
        <v>196</v>
      </c>
      <c r="G55" s="57" t="s">
        <v>207</v>
      </c>
    </row>
    <row r="56" spans="4:7" ht="15.75" thickBot="1" x14ac:dyDescent="0.3">
      <c r="D56" s="57">
        <v>179237</v>
      </c>
      <c r="E56" s="59" t="s">
        <v>229</v>
      </c>
      <c r="F56" s="58" t="s">
        <v>196</v>
      </c>
      <c r="G56" s="57" t="s">
        <v>236</v>
      </c>
    </row>
    <row r="57" spans="4:7" ht="15.75" thickBot="1" x14ac:dyDescent="0.3">
      <c r="D57" s="57">
        <v>179269</v>
      </c>
      <c r="E57" s="59" t="s">
        <v>229</v>
      </c>
      <c r="F57" s="58" t="s">
        <v>196</v>
      </c>
      <c r="G57" s="57" t="s">
        <v>216</v>
      </c>
    </row>
    <row r="58" spans="4:7" ht="15.75" thickBot="1" x14ac:dyDescent="0.3">
      <c r="D58" s="57">
        <v>179551</v>
      </c>
      <c r="E58" s="59" t="s">
        <v>210</v>
      </c>
      <c r="F58" s="58" t="s">
        <v>196</v>
      </c>
      <c r="G58" s="57" t="s">
        <v>209</v>
      </c>
    </row>
    <row r="59" spans="4:7" ht="15.75" thickBot="1" x14ac:dyDescent="0.3">
      <c r="D59" s="57">
        <v>179259</v>
      </c>
      <c r="E59" s="59" t="s">
        <v>219</v>
      </c>
      <c r="F59" s="58" t="s">
        <v>196</v>
      </c>
      <c r="G59" s="57" t="s">
        <v>211</v>
      </c>
    </row>
    <row r="60" spans="4:7" ht="15.75" thickBot="1" x14ac:dyDescent="0.3">
      <c r="D60" s="57">
        <v>179244</v>
      </c>
      <c r="E60" s="59" t="s">
        <v>210</v>
      </c>
      <c r="F60" s="58" t="s">
        <v>196</v>
      </c>
      <c r="G60" s="57" t="s">
        <v>213</v>
      </c>
    </row>
    <row r="61" spans="4:7" ht="15.75" thickBot="1" x14ac:dyDescent="0.3">
      <c r="D61" s="57">
        <v>179544</v>
      </c>
      <c r="E61" s="59" t="s">
        <v>220</v>
      </c>
      <c r="F61" s="58" t="s">
        <v>196</v>
      </c>
      <c r="G61" s="57" t="s">
        <v>213</v>
      </c>
    </row>
    <row r="62" spans="4:7" ht="15.75" thickBot="1" x14ac:dyDescent="0.3">
      <c r="D62" s="57">
        <v>179229</v>
      </c>
      <c r="E62" s="59" t="s">
        <v>221</v>
      </c>
      <c r="F62" s="58" t="s">
        <v>196</v>
      </c>
      <c r="G62" s="57" t="s">
        <v>213</v>
      </c>
    </row>
    <row r="63" spans="4:7" ht="15.75" thickBot="1" x14ac:dyDescent="0.3">
      <c r="D63" s="57">
        <v>179343</v>
      </c>
      <c r="E63" s="59" t="s">
        <v>198</v>
      </c>
      <c r="F63" s="58" t="s">
        <v>196</v>
      </c>
      <c r="G63" s="57" t="s">
        <v>207</v>
      </c>
    </row>
    <row r="64" spans="4:7" ht="15.75" thickBot="1" x14ac:dyDescent="0.3">
      <c r="D64" s="57">
        <v>179329</v>
      </c>
      <c r="E64" s="59" t="s">
        <v>226</v>
      </c>
      <c r="F64" s="58" t="s">
        <v>196</v>
      </c>
      <c r="G64" s="57" t="s">
        <v>207</v>
      </c>
    </row>
    <row r="65" spans="4:7" ht="15.75" thickBot="1" x14ac:dyDescent="0.3">
      <c r="D65" s="57">
        <v>179365</v>
      </c>
      <c r="E65" s="59" t="s">
        <v>212</v>
      </c>
      <c r="F65" s="58" t="s">
        <v>196</v>
      </c>
      <c r="G65" s="57" t="s">
        <v>207</v>
      </c>
    </row>
    <row r="66" spans="4:7" ht="15.75" thickBot="1" x14ac:dyDescent="0.3">
      <c r="D66" s="57">
        <v>179257</v>
      </c>
      <c r="E66" s="59" t="s">
        <v>217</v>
      </c>
      <c r="F66" s="58" t="s">
        <v>196</v>
      </c>
      <c r="G66" s="57" t="s">
        <v>210</v>
      </c>
    </row>
    <row r="67" spans="4:7" ht="15.75" thickBot="1" x14ac:dyDescent="0.3">
      <c r="D67" s="57">
        <v>179264</v>
      </c>
      <c r="E67" s="59" t="s">
        <v>195</v>
      </c>
      <c r="F67" s="58" t="s">
        <v>196</v>
      </c>
      <c r="G67" s="57" t="s">
        <v>210</v>
      </c>
    </row>
    <row r="68" spans="4:7" ht="15.75" thickBot="1" x14ac:dyDescent="0.3">
      <c r="D68" s="57">
        <v>179245</v>
      </c>
      <c r="E68" s="59" t="s">
        <v>234</v>
      </c>
      <c r="F68" s="58" t="s">
        <v>196</v>
      </c>
      <c r="G68" s="57" t="s">
        <v>210</v>
      </c>
    </row>
    <row r="69" spans="4:7" ht="15.75" thickBot="1" x14ac:dyDescent="0.3">
      <c r="D69" s="57">
        <v>179286</v>
      </c>
      <c r="E69" s="59" t="s">
        <v>237</v>
      </c>
      <c r="F69" s="58" t="s">
        <v>196</v>
      </c>
      <c r="G69" s="57" t="s">
        <v>205</v>
      </c>
    </row>
    <row r="70" spans="4:7" ht="15.75" thickBot="1" x14ac:dyDescent="0.3">
      <c r="D70" s="57">
        <v>179287</v>
      </c>
      <c r="E70" s="59" t="s">
        <v>199</v>
      </c>
      <c r="F70" s="58" t="s">
        <v>196</v>
      </c>
      <c r="G70" s="57" t="s">
        <v>205</v>
      </c>
    </row>
    <row r="71" spans="4:7" ht="15.75" thickBot="1" x14ac:dyDescent="0.3">
      <c r="D71" s="57">
        <v>179288</v>
      </c>
      <c r="E71" s="59" t="s">
        <v>229</v>
      </c>
      <c r="F71" s="58" t="s">
        <v>196</v>
      </c>
      <c r="G71" s="57"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Worksheet</vt:lpstr>
      <vt:lpstr>Delinquent Taxes</vt:lpstr>
      <vt:lpstr>Tax Lien</vt:lpstr>
      <vt:lpstr>State Tax</vt:lpstr>
      <vt:lpstr>Federal Tax</vt:lpstr>
      <vt:lpstr>Senior Lien</vt:lpstr>
      <vt:lpstr>HOA</vt:lpstr>
      <vt:lpstr>City-Municipal</vt:lpstr>
      <vt:lpstr>Mobile Home</vt:lpstr>
      <vt:lpstr>Title Issue</vt:lpstr>
      <vt:lpstr>Maturity Date</vt:lpstr>
      <vt:lpstr>FC Issues</vt:lpstr>
      <vt:lpstr>Mod Issues</vt:lpstr>
      <vt:lpstr>Origination Issue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2026-09-10T10:53:07Z</dcterms:modified>
</cp:coreProperties>
</file>