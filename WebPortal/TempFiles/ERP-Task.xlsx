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icg\Desktop\"/>
    </mc:Choice>
  </mc:AlternateContent>
  <xr:revisionPtr revIDLastSave="0" documentId="13_ncr:1_{57FF67D6-D337-4288-BF74-79DDC03FCBD5}" xr6:coauthVersionLast="47" xr6:coauthVersionMax="47" xr10:uidLastSave="{00000000-0000-0000-0000-000000000000}"/>
  <bookViews>
    <workbookView minimized="1" xWindow="30" yWindow="30" windowWidth="20460" windowHeight="10890" firstSheet="1" activeTab="1" xr2:uid="{35DCB050-2D46-4CCC-A094-34A5BFC556D1}"/>
  </bookViews>
  <sheets>
    <sheet name="Sheet1" sheetId="5" r:id="rId1"/>
    <sheet name="Sheet3" sheetId="15" r:id="rId2"/>
    <sheet name="ERP" sheetId="4" r:id="rId3"/>
    <sheet name="Sheet6" sheetId="14" r:id="rId4"/>
    <sheet name="Sheet2" sheetId="12" r:id="rId5"/>
    <sheet name="Sheet4" sheetId="10" r:id="rId6"/>
    <sheet name="Sheet5" sheetId="11" r:id="rId7"/>
    <sheet name="OST" sheetId="6" r:id="rId8"/>
    <sheet name="Billing" sheetId="9" r:id="rId9"/>
    <sheet name="WBT" sheetId="13" r:id="rId10"/>
  </sheets>
  <definedNames>
    <definedName name="_xlnm._FilterDatabase" localSheetId="5" hidden="1">Sheet4!$A$1:$G$29</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7" i="15" l="1"/>
  <c r="N27" i="15"/>
  <c r="N26" i="15"/>
  <c r="Q22" i="15"/>
  <c r="O20" i="15"/>
  <c r="L20" i="15"/>
  <c r="L18" i="15"/>
  <c r="H19" i="15"/>
  <c r="H18" i="15"/>
  <c r="H17" i="15"/>
  <c r="H16" i="15"/>
  <c r="J13" i="15"/>
  <c r="J12" i="15"/>
  <c r="M6" i="15"/>
  <c r="M5" i="15"/>
  <c r="P5" i="15"/>
  <c r="F16" i="5"/>
  <c r="K7" i="14"/>
  <c r="N11" i="12"/>
  <c r="K10" i="12"/>
  <c r="O10" i="12"/>
  <c r="M10" i="12"/>
  <c r="N10" i="12"/>
  <c r="M11" i="12"/>
  <c r="K7" i="12"/>
  <c r="E10" i="5"/>
  <c r="E11" i="5" s="1"/>
  <c r="E12" i="5" s="1"/>
  <c r="D12" i="5"/>
  <c r="E6" i="5"/>
  <c r="E7" i="5" s="1"/>
</calcChain>
</file>

<file path=xl/sharedStrings.xml><?xml version="1.0" encoding="utf-8"?>
<sst xmlns="http://schemas.openxmlformats.org/spreadsheetml/2006/main" count="433" uniqueCount="211">
  <si>
    <t>Completed</t>
  </si>
  <si>
    <t>http://23.111.175.186/InfinityERP/FTE/FTEConfiguration.aspx</t>
  </si>
  <si>
    <t>FTE Master</t>
  </si>
  <si>
    <t>user config</t>
  </si>
  <si>
    <t>Project Configuration</t>
  </si>
  <si>
    <t>User Configuration</t>
  </si>
  <si>
    <t>Client Holiday Master</t>
  </si>
  <si>
    <t>http://23.111.175.186/InfinityERP/FTE/FTEEntry.aspx</t>
  </si>
  <si>
    <t>FTE Entry</t>
  </si>
  <si>
    <t>User Attendance</t>
  </si>
  <si>
    <t>FTE Data Entry</t>
  </si>
  <si>
    <t>FTE Billing</t>
  </si>
  <si>
    <t>http://23.111.175.186/InfinityERP/FTE/FTEBilling.aspx</t>
  </si>
  <si>
    <t>Change header name</t>
  </si>
  <si>
    <t>Change alert message</t>
  </si>
  <si>
    <t>Order Alocation</t>
  </si>
  <si>
    <t>http://23.111.175.186/InfinityERP/OST/OrderAllocationUser.aspx</t>
  </si>
  <si>
    <t>http://23.111.175.186/InfinityERP/OST/OSTReport.aspx</t>
  </si>
  <si>
    <t>OST Report</t>
  </si>
  <si>
    <t>Today's Current Status Report</t>
  </si>
  <si>
    <t>Templete Wise Order Details Report</t>
  </si>
  <si>
    <t>http://23.111.175.186/InfinityERP/OST/TrackingReport.aspx</t>
  </si>
  <si>
    <t>Tracking Report</t>
  </si>
  <si>
    <t>http://23.111.175.186/InfinityERP/OST/AddFeedbackForSearchProject.aspx</t>
  </si>
  <si>
    <t>New Order ()</t>
  </si>
  <si>
    <t>http://23.111.175.186/InfinityERP/OST/ViewAllFeedbackByUserWise.aspx</t>
  </si>
  <si>
    <t>View All feedback by user</t>
  </si>
  <si>
    <t>Page Name</t>
  </si>
  <si>
    <t>Link</t>
  </si>
  <si>
    <t>Tabs</t>
  </si>
  <si>
    <t>Add Feedback</t>
  </si>
  <si>
    <t>Hind</t>
  </si>
  <si>
    <t>Amount Payble</t>
  </si>
  <si>
    <t>Download Issue</t>
  </si>
  <si>
    <t>http://23.111.175.186/InfinityERP/OST/ViewBilling.aspx</t>
  </si>
  <si>
    <t>View Billing</t>
  </si>
  <si>
    <t>Cost per Record</t>
  </si>
  <si>
    <t>Client Billing Template</t>
  </si>
  <si>
    <t>Acc</t>
  </si>
  <si>
    <t>http://192.168.12.22/Valuation1/Accounts/ProjectDetailsMaster.aspx</t>
  </si>
  <si>
    <t>http://192.168.12.22/Valuation1/Accounts/ClientEmailConfiguration.aspx</t>
  </si>
  <si>
    <t>http://192.168.12.22/Valuation1/Accounts/SendAccountDetails.aspx</t>
  </si>
  <si>
    <t>SendToAccounts</t>
  </si>
  <si>
    <t>http://192.168.12.22/Valuation1/Accounts/SendToAccounts.aspx?ProjectID=377&amp;BillingPeriod=01-May-2025%20~%2015-May-2025&amp;ProjectName=1002</t>
  </si>
  <si>
    <t>Below Page redirect</t>
  </si>
  <si>
    <t>Yet to be billed</t>
  </si>
  <si>
    <t>usp_GetBillingPeriod</t>
  </si>
  <si>
    <t>Sr. no.</t>
  </si>
  <si>
    <t>Particulars</t>
  </si>
  <si>
    <t>Details</t>
  </si>
  <si>
    <t xml:space="preserve">HR induction </t>
  </si>
  <si>
    <t>Question Set - Answers Not Available</t>
  </si>
  <si>
    <t>Bank Details upload - new tab to be added</t>
  </si>
  <si>
    <t>Here all employees whose bank details are pending to upload will be shown</t>
  </si>
  <si>
    <t>Helpdesk</t>
  </si>
  <si>
    <t>Whole ticket tab needs to be added</t>
  </si>
  <si>
    <t>Ex Employee Verification</t>
  </si>
  <si>
    <t>View Details - Name &amp; Details of Verifier is not available</t>
  </si>
  <si>
    <t>Also download attachment once verified - not working</t>
  </si>
  <si>
    <t>Eligibility to re hire, ans. is please specify - Not visible from our end in our sending mail</t>
  </si>
  <si>
    <t>Fun Friday</t>
  </si>
  <si>
    <t>View Snaps option to be added in ERP</t>
  </si>
  <si>
    <t xml:space="preserve">Social Media Input </t>
  </si>
  <si>
    <t>not Working</t>
  </si>
  <si>
    <t>Letter Head management</t>
  </si>
  <si>
    <t>Master Data</t>
  </si>
  <si>
    <t>To Be Uploaded</t>
  </si>
  <si>
    <t>R&amp;R</t>
  </si>
  <si>
    <t>Show quarterly report &amp; add options to show &amp; add snaps</t>
  </si>
  <si>
    <t>Profile Creation</t>
  </si>
  <si>
    <t>Remove these mandatory. Keep it optional</t>
  </si>
  <si>
    <t>Blood group</t>
  </si>
  <si>
    <t>Project</t>
  </si>
  <si>
    <t>View Employee</t>
  </si>
  <si>
    <t>add scanned docs attachment option</t>
  </si>
  <si>
    <t>Skip Level Report</t>
  </si>
  <si>
    <t>Data not available</t>
  </si>
  <si>
    <t xml:space="preserve">Pseudo name </t>
  </si>
  <si>
    <t>Tab not Available</t>
  </si>
  <si>
    <t>Employee Verification Details</t>
  </si>
  <si>
    <t>Underwriting test module</t>
  </si>
  <si>
    <t>View Applicant List</t>
  </si>
  <si>
    <t>Not visible</t>
  </si>
  <si>
    <t>Attrition Report</t>
  </si>
  <si>
    <t>All Employees KYC</t>
  </si>
  <si>
    <t>Tab to be added - where we can see all KYC details &amp; PF &amp; ESI applicable or not along with uan esic nos.</t>
  </si>
  <si>
    <t xml:space="preserve">POSH </t>
  </si>
  <si>
    <t>Test link pending</t>
  </si>
  <si>
    <t>New Requisition Added</t>
  </si>
  <si>
    <t>Pop Up to be given</t>
  </si>
  <si>
    <t>Approval for new requisition added</t>
  </si>
  <si>
    <t>HR Report</t>
  </si>
  <si>
    <t>Snaps not displayed - R&amp;R and Fun Friday</t>
  </si>
  <si>
    <t>Social media Inputs - Not available</t>
  </si>
  <si>
    <t>Mast Data - not available</t>
  </si>
  <si>
    <t>Page</t>
  </si>
  <si>
    <t>HRInduction</t>
  </si>
  <si>
    <t>add Correct ans column in grid</t>
  </si>
  <si>
    <t xml:space="preserve">BankDetalsApprovalReport ( create New page )refer
Pending Bank Account (only grid ) </t>
  </si>
  <si>
    <t>BankAcc blank (Einfo) and records not in user bank account table</t>
  </si>
  <si>
    <t>EmployeeVerificationReport redirect
EmployeeVerificationConfirmation</t>
  </si>
  <si>
    <t>link button doenload not working</t>
  </si>
  <si>
    <t>FunFriday</t>
  </si>
  <si>
    <t>Add col to grid for view snaps same as appr and desc action</t>
  </si>
  <si>
    <t>HRReportInput</t>
  </si>
  <si>
    <t>Add Month nad Year ddl tin 1st TAB</t>
  </si>
  <si>
    <t>LetterHeadManagement</t>
  </si>
  <si>
    <t>Check submit button code</t>
  </si>
  <si>
    <t>Please provide Format</t>
  </si>
  <si>
    <t>Need to be discuss</t>
  </si>
  <si>
    <t>Completed/Waiting panel</t>
  </si>
  <si>
    <t>Comppleted</t>
  </si>
  <si>
    <t>New Page UpdatePsuedoName (both HRAccess, PMUtilities)</t>
  </si>
  <si>
    <t>Add Correct ans col to grid</t>
  </si>
  <si>
    <t>UnderwritingTestModule</t>
  </si>
  <si>
    <t>ViewAllApplicantList</t>
  </si>
  <si>
    <t>Pop Up add in notification table</t>
  </si>
  <si>
    <t>Data to be uploaded in new ERP server</t>
  </si>
  <si>
    <t>NGK</t>
  </si>
  <si>
    <t>Expected Completeion Date</t>
  </si>
  <si>
    <t>Remark</t>
  </si>
  <si>
    <t>Need to develop new Page</t>
  </si>
  <si>
    <t>Please provide format</t>
  </si>
  <si>
    <t>Need to discuss</t>
  </si>
  <si>
    <t>Need to develop new page</t>
  </si>
  <si>
    <t>Sr. No</t>
  </si>
  <si>
    <t>Ex Employee 
Verification</t>
  </si>
  <si>
    <t>Letter Head 
management</t>
  </si>
  <si>
    <t>Bank Details upload 
- new tab to be added</t>
  </si>
  <si>
    <t>The relevant data is not available in the system and therefore is not visible. Please refer to the New ERP link for further details.</t>
  </si>
  <si>
    <t>Dynamic grid bind and furthur actions (Link), with column specify</t>
  </si>
  <si>
    <t>The relevant data is currently not available in the system and is therefore not visible. Kindly refer to the New ERP link for further details.</t>
  </si>
  <si>
    <t>Letter Head Management</t>
  </si>
  <si>
    <t>POSH Test Result</t>
  </si>
  <si>
    <r>
      <rPr>
        <b/>
        <sz val="11"/>
        <color theme="1"/>
        <rFont val="Calibri"/>
        <family val="2"/>
        <scheme val="minor"/>
      </rPr>
      <t xml:space="preserve">New Task </t>
    </r>
    <r>
      <rPr>
        <sz val="11"/>
        <color theme="1"/>
        <rFont val="Calibri"/>
        <family val="2"/>
        <scheme val="minor"/>
      </rPr>
      <t xml:space="preserve">: Pleas erefer below path
</t>
    </r>
    <r>
      <rPr>
        <b/>
        <sz val="11"/>
        <color theme="1"/>
        <rFont val="Calibri"/>
        <family val="2"/>
        <scheme val="minor"/>
      </rPr>
      <t>Miscellaneous --&gt; POSH Induction Test Result</t>
    </r>
  </si>
  <si>
    <t>New Task, Posh Test Result</t>
  </si>
  <si>
    <t>Running on live</t>
  </si>
  <si>
    <t>Developer Remark</t>
  </si>
  <si>
    <r>
      <t xml:space="preserve">Question Set - Answers Not Available – </t>
    </r>
    <r>
      <rPr>
        <b/>
        <sz val="11"/>
        <color rgb="FFEE0000"/>
        <rFont val="Calibri"/>
        <family val="2"/>
      </rPr>
      <t xml:space="preserve">DONE </t>
    </r>
  </si>
  <si>
    <r>
      <t xml:space="preserve">To Be Uploaded – </t>
    </r>
    <r>
      <rPr>
        <b/>
        <sz val="11"/>
        <color rgb="FFEE0000"/>
        <rFont val="Calibri"/>
        <family val="2"/>
      </rPr>
      <t>NOT AVAILABLE - PENDING</t>
    </r>
  </si>
  <si>
    <r>
      <t xml:space="preserve">Data not available - </t>
    </r>
    <r>
      <rPr>
        <b/>
        <sz val="11"/>
        <color rgb="FFEE0000"/>
        <rFont val="Calibri"/>
        <family val="2"/>
      </rPr>
      <t>DONE</t>
    </r>
  </si>
  <si>
    <r>
      <t xml:space="preserve">Tab not Available – </t>
    </r>
    <r>
      <rPr>
        <b/>
        <sz val="11"/>
        <color rgb="FFEE0000"/>
        <rFont val="Calibri"/>
        <family val="2"/>
      </rPr>
      <t>NOT AVAILABLE</t>
    </r>
    <r>
      <rPr>
        <sz val="11"/>
        <color rgb="FFEE0000"/>
        <rFont val="Calibri"/>
        <family val="2"/>
      </rPr>
      <t xml:space="preserve"> </t>
    </r>
    <r>
      <rPr>
        <b/>
        <sz val="11"/>
        <color rgb="FFEE0000"/>
        <rFont val="Calibri"/>
        <family val="2"/>
      </rPr>
      <t>- PENDING</t>
    </r>
  </si>
  <si>
    <r>
      <t xml:space="preserve">Question Set - Answers Not Available - </t>
    </r>
    <r>
      <rPr>
        <b/>
        <sz val="11"/>
        <color rgb="FFEE0000"/>
        <rFont val="Calibri"/>
        <family val="2"/>
      </rPr>
      <t>DONE</t>
    </r>
  </si>
  <si>
    <r>
      <t xml:space="preserve">Not visible – </t>
    </r>
    <r>
      <rPr>
        <b/>
        <sz val="11"/>
        <color rgb="FFEE0000"/>
        <rFont val="Calibri"/>
        <family val="2"/>
      </rPr>
      <t>NOT VISIBLE ONLY MAY 2025 VISIBLE - PENDING</t>
    </r>
  </si>
  <si>
    <r>
      <t xml:space="preserve">Test link pending – </t>
    </r>
    <r>
      <rPr>
        <b/>
        <sz val="11"/>
        <color rgb="FFEE0000"/>
        <rFont val="Calibri"/>
        <family val="2"/>
      </rPr>
      <t>PENDING – ALSO TEST IS COMPLETED BUT RESULT IS STILL SHOWING - PENDING</t>
    </r>
  </si>
  <si>
    <r>
      <t xml:space="preserve">Pop Up to be given </t>
    </r>
    <r>
      <rPr>
        <b/>
        <sz val="11"/>
        <color rgb="FFEE0000"/>
        <rFont val="Calibri"/>
        <family val="2"/>
      </rPr>
      <t>NEED TO CHECK</t>
    </r>
  </si>
  <si>
    <t>Report avavilable on Live as per data provided by Excel from HR department(from last 6 months), 
please verify.</t>
  </si>
  <si>
    <r>
      <t xml:space="preserve">Available on live, please follow below link
</t>
    </r>
    <r>
      <rPr>
        <b/>
        <sz val="11"/>
        <color theme="1"/>
        <rFont val="Calibri"/>
        <family val="2"/>
        <scheme val="minor"/>
      </rPr>
      <t>General --&gt; Employee Verification Details</t>
    </r>
  </si>
  <si>
    <t>Data shown in report as per selected from and To date</t>
  </si>
  <si>
    <t>To verify this pop-up message, need to add test entry to system from your end.</t>
  </si>
  <si>
    <r>
      <t xml:space="preserve">Running on live : Pleas erefer below path
</t>
    </r>
    <r>
      <rPr>
        <b/>
        <sz val="11"/>
        <color theme="1"/>
        <rFont val="Calibri"/>
        <family val="2"/>
      </rPr>
      <t>HR Access --&gt; General --&gt; Pending Bank Account</t>
    </r>
  </si>
  <si>
    <r>
      <t xml:space="preserve">Running on live: Pleas erefer below path
</t>
    </r>
    <r>
      <rPr>
        <b/>
        <sz val="11"/>
        <color theme="1"/>
        <rFont val="Calibri"/>
        <family val="2"/>
      </rPr>
      <t>PM Utilities --&gt; Master --&gt; Update Pseudoname</t>
    </r>
  </si>
  <si>
    <r>
      <t xml:space="preserve">Running on live : Pleas erefer below path
</t>
    </r>
    <r>
      <rPr>
        <b/>
        <sz val="11"/>
        <color theme="1"/>
        <rFont val="Calibri"/>
        <family val="2"/>
      </rPr>
      <t>HR Access --&gt; General --&gt; Employee Verification Details</t>
    </r>
  </si>
  <si>
    <r>
      <t xml:space="preserve">The "Snaps" facility has now been made available on the live system.You can access it via:
</t>
    </r>
    <r>
      <rPr>
        <b/>
        <sz val="11"/>
        <color theme="1"/>
        <rFont val="Calibri"/>
        <family val="2"/>
        <scheme val="minor"/>
      </rPr>
      <t>HR Access → Other → Reward and Recognition</t>
    </r>
    <r>
      <rPr>
        <sz val="11"/>
        <color theme="1"/>
        <rFont val="Calibri"/>
        <family val="2"/>
        <scheme val="minor"/>
      </rPr>
      <t xml:space="preserve">
For reporting purposes, please share the required format.</t>
    </r>
  </si>
  <si>
    <t>Expected Completion Date</t>
  </si>
  <si>
    <r>
      <t>Running on live</t>
    </r>
    <r>
      <rPr>
        <sz val="11"/>
        <color theme="1"/>
        <rFont val="Calibri"/>
        <family val="2"/>
      </rPr>
      <t xml:space="preserve">- </t>
    </r>
    <r>
      <rPr>
        <b/>
        <sz val="11"/>
        <color rgb="FFFF0000"/>
        <rFont val="Calibri"/>
        <family val="2"/>
      </rPr>
      <t>DONE</t>
    </r>
  </si>
  <si>
    <r>
      <t>Running on live</t>
    </r>
    <r>
      <rPr>
        <sz val="11"/>
        <color theme="1"/>
        <rFont val="Calibri"/>
        <family val="2"/>
      </rPr>
      <t xml:space="preserve"> - </t>
    </r>
    <r>
      <rPr>
        <b/>
        <sz val="11"/>
        <color rgb="FFFF0000"/>
        <rFont val="Calibri"/>
        <family val="2"/>
      </rPr>
      <t>NOT AVAILABLE</t>
    </r>
  </si>
  <si>
    <r>
      <t>Running on live</t>
    </r>
    <r>
      <rPr>
        <sz val="11"/>
        <color theme="1"/>
        <rFont val="Calibri"/>
        <family val="2"/>
      </rPr>
      <t xml:space="preserve">- </t>
    </r>
    <r>
      <rPr>
        <b/>
        <sz val="11"/>
        <color rgb="FFFF0000"/>
        <rFont val="Calibri"/>
        <family val="2"/>
      </rPr>
      <t>Data not available- only summary available</t>
    </r>
  </si>
  <si>
    <r>
      <t>Running on live</t>
    </r>
    <r>
      <rPr>
        <sz val="11"/>
        <color theme="1"/>
        <rFont val="Calibri"/>
        <family val="2"/>
      </rPr>
      <t xml:space="preserve">- </t>
    </r>
    <r>
      <rPr>
        <b/>
        <sz val="11"/>
        <color theme="1"/>
        <rFont val="Calibri"/>
        <family val="2"/>
      </rPr>
      <t xml:space="preserve">- </t>
    </r>
    <r>
      <rPr>
        <b/>
        <sz val="11"/>
        <color rgb="FFFF0000"/>
        <rFont val="Calibri"/>
        <family val="2"/>
      </rPr>
      <t>Data available- search code tab not available</t>
    </r>
  </si>
  <si>
    <r>
      <t>Running on live</t>
    </r>
    <r>
      <rPr>
        <sz val="11"/>
        <color theme="1"/>
        <rFont val="Calibri"/>
        <family val="2"/>
      </rPr>
      <t xml:space="preserve">- </t>
    </r>
    <r>
      <rPr>
        <b/>
        <sz val="11"/>
        <color rgb="FFFF0000"/>
        <rFont val="Calibri"/>
        <family val="2"/>
      </rPr>
      <t>Data not available</t>
    </r>
  </si>
  <si>
    <r>
      <t>Running on live</t>
    </r>
    <r>
      <rPr>
        <sz val="11"/>
        <color theme="1"/>
        <rFont val="Calibri"/>
        <family val="2"/>
      </rPr>
      <t xml:space="preserve">- </t>
    </r>
    <r>
      <rPr>
        <b/>
        <sz val="12"/>
        <color rgb="FFFF0000"/>
        <rFont val="Calibri"/>
        <family val="2"/>
      </rPr>
      <t>Test no visible yet to all employees &amp; test result of LCV is completed but showing pending</t>
    </r>
  </si>
  <si>
    <r>
      <t>Running on live</t>
    </r>
    <r>
      <rPr>
        <sz val="11"/>
        <color theme="1"/>
        <rFont val="Calibri"/>
        <family val="2"/>
      </rPr>
      <t xml:space="preserve">- </t>
    </r>
    <r>
      <rPr>
        <b/>
        <sz val="11"/>
        <color rgb="FFFF0000"/>
        <rFont val="Calibri"/>
        <family val="2"/>
      </rPr>
      <t>Pop not received</t>
    </r>
  </si>
  <si>
    <r>
      <t>Running on live</t>
    </r>
    <r>
      <rPr>
        <sz val="11"/>
        <color theme="1"/>
        <rFont val="Calibri"/>
        <family val="2"/>
      </rPr>
      <t xml:space="preserve">- </t>
    </r>
    <r>
      <rPr>
        <b/>
        <sz val="11"/>
        <color rgb="FFFF0000"/>
        <rFont val="Calibri"/>
        <family val="2"/>
      </rPr>
      <t>Need to check</t>
    </r>
  </si>
  <si>
    <r>
      <t>The relevant data is currently not available in the system and is therefore not visible. Kindly refer to the New ERP link for further details.</t>
    </r>
    <r>
      <rPr>
        <sz val="11"/>
        <color theme="1"/>
        <rFont val="Calibri"/>
        <family val="2"/>
      </rPr>
      <t xml:space="preserve">- </t>
    </r>
    <r>
      <rPr>
        <b/>
        <sz val="11"/>
        <color rgb="FFFF0000"/>
        <rFont val="Calibri"/>
        <family val="2"/>
      </rPr>
      <t>NOT WORKING</t>
    </r>
  </si>
  <si>
    <r>
      <t xml:space="preserve">New Task </t>
    </r>
    <r>
      <rPr>
        <sz val="11"/>
        <color rgb="FF000000"/>
        <rFont val="Calibri"/>
        <family val="2"/>
      </rPr>
      <t>: Please refer below path</t>
    </r>
  </si>
  <si>
    <r>
      <t>Miscellaneous --&gt; POSH Induction Test Result</t>
    </r>
    <r>
      <rPr>
        <b/>
        <sz val="11"/>
        <color theme="1"/>
        <rFont val="Calibri"/>
        <family val="2"/>
      </rPr>
      <t>-</t>
    </r>
  </si>
  <si>
    <t>Test no visible yet to all employees &amp; test result of LCV is completed but showing pending</t>
  </si>
  <si>
    <t>Running on live : Refer below path</t>
  </si>
  <si>
    <r>
      <t>HR Access --&gt; General --&gt; Pending Bank Account</t>
    </r>
    <r>
      <rPr>
        <b/>
        <sz val="11"/>
        <color theme="1"/>
        <rFont val="Calibri"/>
        <family val="2"/>
      </rPr>
      <t xml:space="preserve">- </t>
    </r>
    <r>
      <rPr>
        <b/>
        <sz val="11"/>
        <color rgb="FFFF0000"/>
        <rFont val="Calibri"/>
        <family val="2"/>
      </rPr>
      <t>DATA NOT AVAILABLE</t>
    </r>
  </si>
  <si>
    <t>Running on live: Refer below path</t>
  </si>
  <si>
    <r>
      <t>HR Access --&gt; General --&gt; Employee Verification Details</t>
    </r>
    <r>
      <rPr>
        <b/>
        <sz val="11"/>
        <color theme="1"/>
        <rFont val="Calibri"/>
        <family val="2"/>
      </rPr>
      <t xml:space="preserve">- </t>
    </r>
    <r>
      <rPr>
        <b/>
        <sz val="11"/>
        <color rgb="FFFF0000"/>
        <rFont val="Calibri"/>
        <family val="2"/>
      </rPr>
      <t>Data available- search code tab not available</t>
    </r>
  </si>
  <si>
    <r>
      <t> Running on live</t>
    </r>
    <r>
      <rPr>
        <sz val="11"/>
        <color theme="1"/>
        <rFont val="Calibri"/>
        <family val="2"/>
      </rPr>
      <t xml:space="preserve">- </t>
    </r>
    <r>
      <rPr>
        <b/>
        <sz val="11"/>
        <color rgb="FFFF0000"/>
        <rFont val="Calibri"/>
        <family val="2"/>
      </rPr>
      <t>TAB NOT WORKING</t>
    </r>
  </si>
  <si>
    <t>HR Access → Other → Reward and Recognition</t>
  </si>
  <si>
    <r>
      <t>For reporting purposes, please share the required format.</t>
    </r>
    <r>
      <rPr>
        <sz val="11"/>
        <color theme="1"/>
        <rFont val="Calibri"/>
        <family val="2"/>
      </rPr>
      <t xml:space="preserve">- </t>
    </r>
    <r>
      <rPr>
        <b/>
        <sz val="11"/>
        <color rgb="FFFF0000"/>
        <rFont val="Calibri"/>
        <family val="2"/>
      </rPr>
      <t>Add snap option not working</t>
    </r>
  </si>
  <si>
    <t>For report the format is already available in HR report</t>
  </si>
  <si>
    <t>The test data for LCV is currently not available in the system.
As discussed, the test link is accessible only through Rucha Ma'am’s login.
Requesting you to check from your end and help make the link and data accessible for all relevant user logins.</t>
  </si>
  <si>
    <t>HR Access--&gt; Miscellaneous --&gt; Update Pseudoname</t>
  </si>
  <si>
    <t>The "Snaps" facility has now been made available on the live system. You can access it via:
HR Access → Other → Reward and Recognition</t>
  </si>
  <si>
    <t>Sr. No.</t>
  </si>
  <si>
    <t>TestSoft2101</t>
  </si>
  <si>
    <t>Instaant Application Form Validations</t>
  </si>
  <si>
    <t>lcv</t>
  </si>
  <si>
    <t>ViewAllAplicant</t>
  </si>
  <si>
    <t>Requisition</t>
  </si>
  <si>
    <t>Approve Requisition alert</t>
  </si>
  <si>
    <t>PseudoName</t>
  </si>
  <si>
    <t>POSHTestResult</t>
  </si>
  <si>
    <t>Resignation Summary</t>
  </si>
  <si>
    <t>NewJoineeReportSummary</t>
  </si>
  <si>
    <t>HRReport Fsnaps, Rrsnaps</t>
  </si>
  <si>
    <t>AbscondingAndLeaveReport proc change</t>
  </si>
  <si>
    <t>Absconding Employee FollowUp Remark</t>
  </si>
  <si>
    <t>RoamingBranch</t>
  </si>
  <si>
    <t>User Performance For Marketing</t>
  </si>
  <si>
    <t>2.8.5</t>
  </si>
  <si>
    <t>',</t>
  </si>
  <si>
    <t>'</t>
  </si>
  <si>
    <t>x</t>
  </si>
  <si>
    <t>Deal Number</t>
  </si>
  <si>
    <t>Loan Number</t>
  </si>
  <si>
    <t>Purchase Entity</t>
  </si>
  <si>
    <t>Condition</t>
  </si>
  <si>
    <t>Client Rebuttal</t>
  </si>
  <si>
    <t>Status</t>
  </si>
  <si>
    <t>Rebuttal Received Date</t>
  </si>
  <si>
    <t>Rebuttal Response Date</t>
  </si>
  <si>
    <t>Review Time (In Minutes)</t>
  </si>
  <si>
    <t>Time</t>
  </si>
  <si>
    <t>Amount</t>
  </si>
  <si>
    <t>Rate</t>
  </si>
  <si>
    <t>Billing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</si>
</sst>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u/>
      <sz val="11"/>
      <color theme="10"/>
      <name val="Calibri"/>
      <family val="2"/>
      <scheme val="minor"/>
    </font>
    <font>
      <b/>
      <sz val="11"/>
      <color theme="1"/>
      <name val="Calibri"/>
      <family val="2"/>
      <scheme val="minor"/>
    </font>
    <font>
      <b/>
      <sz val="11"/>
      <color rgb="FFFF0000"/>
      <name val="Calibri"/>
      <family val="2"/>
      <scheme val="minor"/>
    </font>
    <font>
      <b/>
      <sz val="11"/>
      <color rgb="FF000000"/>
      <name val="Calibri"/>
      <family val="2"/>
    </font>
    <font>
      <sz val="11"/>
      <color rgb="FF000000"/>
      <name val="Calibri"/>
      <family val="2"/>
    </font>
    <font>
      <sz val="11"/>
      <color rgb="FF00B050"/>
      <name val="Calibri"/>
      <family val="2"/>
    </font>
    <font>
      <sz val="11"/>
      <color theme="1"/>
      <name val="Calibri"/>
      <family val="2"/>
    </font>
    <font>
      <b/>
      <sz val="11"/>
      <color rgb="FFEE0000"/>
      <name val="Calibri"/>
      <family val="2"/>
    </font>
    <font>
      <sz val="11"/>
      <color rgb="FFEE0000"/>
      <name val="Calibri"/>
      <family val="2"/>
    </font>
    <font>
      <sz val="11"/>
      <color rgb="FFFFFF00"/>
      <name val="Calibri"/>
      <family val="2"/>
    </font>
    <font>
      <sz val="11"/>
      <color rgb="FFFFFF00"/>
      <name val="Calibri"/>
      <family val="2"/>
      <scheme val="minor"/>
    </font>
    <font>
      <i/>
      <sz val="11"/>
      <color theme="1"/>
      <name val="Calibri"/>
      <family val="2"/>
      <scheme val="minor"/>
    </font>
    <font>
      <b/>
      <sz val="11"/>
      <color theme="1"/>
      <name val="Calibri"/>
      <family val="2"/>
    </font>
    <font>
      <b/>
      <sz val="11"/>
      <color rgb="FFFF0000"/>
      <name val="Calibri"/>
      <family val="2"/>
    </font>
    <font>
      <b/>
      <sz val="12"/>
      <color rgb="FFFF0000"/>
      <name val="Calibri"/>
      <family val="2"/>
    </font>
  </fonts>
  <fills count="15">
    <fill>
      <patternFill patternType="none"/>
    </fill>
    <fill>
      <patternFill patternType="gray125"/>
    </fill>
    <fill>
      <patternFill patternType="solid">
        <fgColor theme="4" tint="0.59999389629810485"/>
        <bgColor indexed="64"/>
      </patternFill>
    </fill>
    <fill>
      <patternFill patternType="solid">
        <fgColor theme="9"/>
        <bgColor indexed="64"/>
      </patternFill>
    </fill>
    <fill>
      <patternFill patternType="solid">
        <fgColor rgb="FF92D050"/>
        <bgColor indexed="64"/>
      </patternFill>
    </fill>
    <fill>
      <patternFill patternType="solid">
        <fgColor rgb="FFFFFF00"/>
        <bgColor indexed="64"/>
      </patternFill>
    </fill>
    <fill>
      <patternFill patternType="solid">
        <fgColor theme="2"/>
        <bgColor indexed="64"/>
      </patternFill>
    </fill>
    <fill>
      <patternFill patternType="solid">
        <fgColor theme="5"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rgb="FFE7E6E6"/>
        <bgColor indexed="64"/>
      </patternFill>
    </fill>
    <fill>
      <patternFill patternType="solid">
        <fgColor theme="5" tint="-0.499984740745262"/>
        <bgColor indexed="64"/>
      </patternFill>
    </fill>
    <fill>
      <patternFill patternType="solid">
        <fgColor rgb="FFFFFFFF"/>
        <bgColor indexed="64"/>
      </patternFill>
    </fill>
    <fill>
      <patternFill patternType="solid">
        <fgColor theme="0" tint="-0.14999847407452621"/>
        <bgColor indexed="64"/>
      </patternFill>
    </fill>
    <fill>
      <patternFill patternType="solid">
        <fgColor theme="9" tint="0.399975585192419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top/>
      <bottom style="medium">
        <color indexed="64"/>
      </bottom>
      <diagonal/>
    </border>
  </borders>
  <cellStyleXfs count="2">
    <xf numFmtId="0" fontId="0" fillId="0" borderId="0"/>
    <xf numFmtId="0" fontId="1" fillId="0" borderId="0" applyNumberFormat="0" applyFill="0" applyBorder="0" applyAlignment="0" applyProtection="0"/>
  </cellStyleXfs>
  <cellXfs count="159">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xf numFmtId="0" fontId="1" fillId="0" borderId="1" xfId="1" applyBorder="1"/>
    <xf numFmtId="0" fontId="0" fillId="0" borderId="1" xfId="0" applyBorder="1" applyAlignment="1">
      <alignment horizontal="left" vertical="top"/>
    </xf>
    <xf numFmtId="0" fontId="1" fillId="0" borderId="1" xfId="1" applyBorder="1" applyAlignment="1">
      <alignment horizontal="center" vertical="center" wrapText="1"/>
    </xf>
    <xf numFmtId="0" fontId="2" fillId="2" borderId="1" xfId="0" applyFont="1" applyFill="1" applyBorder="1" applyAlignment="1">
      <alignment horizontal="center"/>
    </xf>
    <xf numFmtId="0" fontId="0" fillId="3" borderId="1" xfId="0" applyFill="1" applyBorder="1"/>
    <xf numFmtId="0" fontId="1" fillId="2" borderId="1" xfId="1" applyFill="1" applyBorder="1"/>
    <xf numFmtId="0" fontId="3" fillId="0" borderId="1" xfId="0" applyFont="1" applyBorder="1"/>
    <xf numFmtId="0" fontId="3" fillId="4" borderId="0" xfId="0" applyFont="1" applyFill="1"/>
    <xf numFmtId="0" fontId="0" fillId="0" borderId="1" xfId="0"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4" fillId="5" borderId="9" xfId="0" applyFont="1" applyFill="1" applyBorder="1" applyAlignment="1">
      <alignment horizontal="center" vertical="center"/>
    </xf>
    <xf numFmtId="0" fontId="0" fillId="0" borderId="0" xfId="0" applyAlignment="1">
      <alignment wrapText="1"/>
    </xf>
    <xf numFmtId="0" fontId="0" fillId="5" borderId="0" xfId="0" applyFill="1"/>
    <xf numFmtId="0" fontId="0" fillId="4" borderId="0" xfId="0" applyFill="1"/>
    <xf numFmtId="0" fontId="0" fillId="7" borderId="0" xfId="0" applyFill="1" applyAlignment="1">
      <alignment horizontal="center" vertical="center"/>
    </xf>
    <xf numFmtId="0" fontId="5" fillId="0" borderId="0" xfId="0" applyFont="1" applyAlignment="1">
      <alignment vertical="center" wrapText="1"/>
    </xf>
    <xf numFmtId="0" fontId="5" fillId="6" borderId="0" xfId="0" applyFont="1" applyFill="1" applyAlignment="1">
      <alignment vertical="center"/>
    </xf>
    <xf numFmtId="0" fontId="5" fillId="0" borderId="11" xfId="0" applyFont="1" applyBorder="1" applyAlignment="1">
      <alignment vertical="center"/>
    </xf>
    <xf numFmtId="0" fontId="5" fillId="0" borderId="11" xfId="0" applyFont="1" applyBorder="1" applyAlignment="1">
      <alignment vertical="center" wrapText="1"/>
    </xf>
    <xf numFmtId="0" fontId="5" fillId="6" borderId="11" xfId="0" applyFont="1" applyFill="1" applyBorder="1" applyAlignment="1">
      <alignment vertical="center"/>
    </xf>
    <xf numFmtId="0" fontId="5" fillId="6" borderId="11" xfId="0" applyFont="1" applyFill="1" applyBorder="1" applyAlignment="1">
      <alignment vertical="center" wrapText="1"/>
    </xf>
    <xf numFmtId="0" fontId="6" fillId="0" borderId="11" xfId="0" applyFont="1" applyBorder="1" applyAlignment="1">
      <alignment vertical="center"/>
    </xf>
    <xf numFmtId="0" fontId="0" fillId="0" borderId="0" xfId="0" applyAlignment="1">
      <alignment horizontal="center" vertical="center"/>
    </xf>
    <xf numFmtId="0" fontId="5" fillId="0" borderId="1" xfId="0" applyFont="1" applyBorder="1" applyAlignment="1">
      <alignment vertical="center"/>
    </xf>
    <xf numFmtId="0" fontId="5" fillId="0" borderId="1" xfId="0" applyFont="1" applyBorder="1" applyAlignment="1">
      <alignment vertical="center" wrapText="1"/>
    </xf>
    <xf numFmtId="0" fontId="5" fillId="6" borderId="1" xfId="0" applyFont="1" applyFill="1" applyBorder="1" applyAlignment="1">
      <alignment vertical="center"/>
    </xf>
    <xf numFmtId="0" fontId="5" fillId="6" borderId="1" xfId="0" applyFont="1" applyFill="1" applyBorder="1" applyAlignment="1">
      <alignment vertical="center" wrapText="1"/>
    </xf>
    <xf numFmtId="0" fontId="6" fillId="0" borderId="1" xfId="0" applyFont="1" applyBorder="1" applyAlignment="1">
      <alignment vertical="center"/>
    </xf>
    <xf numFmtId="0" fontId="7" fillId="0" borderId="1" xfId="0" applyFont="1" applyBorder="1" applyAlignment="1">
      <alignment vertical="center"/>
    </xf>
    <xf numFmtId="0" fontId="5" fillId="0" borderId="1" xfId="0" applyFont="1" applyBorder="1" applyAlignment="1">
      <alignment horizontal="center" vertical="center" wrapText="1"/>
    </xf>
    <xf numFmtId="0" fontId="5" fillId="0" borderId="0" xfId="0" applyFont="1" applyAlignment="1">
      <alignment horizontal="center" vertical="center"/>
    </xf>
    <xf numFmtId="15" fontId="6" fillId="0" borderId="1" xfId="0" applyNumberFormat="1" applyFont="1" applyBorder="1" applyAlignment="1">
      <alignment horizontal="center" vertical="center"/>
    </xf>
    <xf numFmtId="15" fontId="5" fillId="0" borderId="1" xfId="0" applyNumberFormat="1" applyFont="1" applyBorder="1" applyAlignment="1">
      <alignment horizontal="center" vertical="center" wrapText="1"/>
    </xf>
    <xf numFmtId="0" fontId="5" fillId="6" borderId="1" xfId="0" applyFont="1" applyFill="1" applyBorder="1" applyAlignment="1">
      <alignment horizontal="center" vertical="center"/>
    </xf>
    <xf numFmtId="15"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4" fillId="5" borderId="1" xfId="0" applyFont="1" applyFill="1" applyBorder="1" applyAlignment="1">
      <alignment horizontal="center" vertical="center"/>
    </xf>
    <xf numFmtId="0" fontId="5" fillId="0" borderId="1" xfId="0" applyFont="1" applyBorder="1" applyAlignment="1">
      <alignment horizontal="left" vertical="center"/>
    </xf>
    <xf numFmtId="0" fontId="4" fillId="5" borderId="1" xfId="0" applyFont="1" applyFill="1" applyBorder="1" applyAlignment="1">
      <alignment horizontal="left" vertical="center"/>
    </xf>
    <xf numFmtId="15" fontId="7" fillId="0" borderId="1" xfId="0" applyNumberFormat="1" applyFont="1" applyBorder="1" applyAlignment="1">
      <alignment horizontal="center" vertical="center"/>
    </xf>
    <xf numFmtId="0" fontId="7" fillId="0" borderId="1" xfId="0" applyFont="1" applyBorder="1" applyAlignment="1">
      <alignment horizontal="center" vertical="center"/>
    </xf>
    <xf numFmtId="15" fontId="7" fillId="6" borderId="1" xfId="0" applyNumberFormat="1" applyFont="1" applyFill="1" applyBorder="1" applyAlignment="1">
      <alignment horizontal="center" vertical="center"/>
    </xf>
    <xf numFmtId="0" fontId="0" fillId="0" borderId="1" xfId="0" applyBorder="1" applyAlignment="1">
      <alignment horizontal="left"/>
    </xf>
    <xf numFmtId="0" fontId="5" fillId="8" borderId="1" xfId="0" applyFont="1" applyFill="1" applyBorder="1" applyAlignment="1">
      <alignment vertical="center"/>
    </xf>
    <xf numFmtId="0" fontId="5" fillId="9" borderId="1" xfId="0" applyFont="1" applyFill="1" applyBorder="1" applyAlignment="1">
      <alignment horizontal="center" vertical="center"/>
    </xf>
    <xf numFmtId="0" fontId="5" fillId="9" borderId="1" xfId="0" applyFont="1" applyFill="1" applyBorder="1" applyAlignment="1">
      <alignment horizontal="left" vertical="center"/>
    </xf>
    <xf numFmtId="0" fontId="5" fillId="9" borderId="1" xfId="0" applyFont="1" applyFill="1" applyBorder="1" applyAlignment="1">
      <alignment vertical="center"/>
    </xf>
    <xf numFmtId="15" fontId="7" fillId="9" borderId="1" xfId="0" applyNumberFormat="1" applyFont="1" applyFill="1" applyBorder="1" applyAlignment="1">
      <alignment horizontal="center" vertical="center"/>
    </xf>
    <xf numFmtId="0" fontId="6" fillId="9" borderId="1" xfId="0" applyFont="1" applyFill="1" applyBorder="1" applyAlignment="1">
      <alignment vertical="center"/>
    </xf>
    <xf numFmtId="0" fontId="5" fillId="0" borderId="7" xfId="0" applyFont="1" applyBorder="1" applyAlignment="1">
      <alignment horizontal="center" vertical="center" wrapText="1"/>
    </xf>
    <xf numFmtId="0" fontId="5" fillId="0" borderId="2" xfId="0" applyFont="1" applyBorder="1" applyAlignment="1">
      <alignment horizontal="left" vertical="center" wrapText="1"/>
    </xf>
    <xf numFmtId="0" fontId="0" fillId="0" borderId="3" xfId="0" applyBorder="1"/>
    <xf numFmtId="0" fontId="5" fillId="0" borderId="15" xfId="0" applyFont="1" applyBorder="1" applyAlignment="1">
      <alignment horizontal="left" vertical="center" wrapText="1"/>
    </xf>
    <xf numFmtId="0" fontId="0" fillId="0" borderId="16" xfId="0" applyBorder="1"/>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vertical="center"/>
    </xf>
    <xf numFmtId="15" fontId="7" fillId="0" borderId="2" xfId="0" applyNumberFormat="1" applyFont="1" applyBorder="1" applyAlignment="1">
      <alignment horizontal="center" vertical="center"/>
    </xf>
    <xf numFmtId="0" fontId="0" fillId="0" borderId="3" xfId="0" applyBorder="1" applyAlignment="1">
      <alignment horizontal="left"/>
    </xf>
    <xf numFmtId="0" fontId="5" fillId="0" borderId="1" xfId="0" applyFont="1" applyBorder="1" applyAlignment="1">
      <alignment horizontal="left" vertical="center" wrapText="1"/>
    </xf>
    <xf numFmtId="15" fontId="5" fillId="8" borderId="1" xfId="0" applyNumberFormat="1" applyFont="1" applyFill="1" applyBorder="1" applyAlignment="1">
      <alignment horizontal="center" vertical="center" wrapText="1"/>
    </xf>
    <xf numFmtId="0" fontId="0" fillId="0" borderId="1" xfId="0" applyBorder="1" applyAlignment="1">
      <alignment wrapText="1"/>
    </xf>
    <xf numFmtId="0" fontId="2" fillId="5" borderId="1" xfId="0" applyFont="1" applyFill="1" applyBorder="1" applyAlignment="1">
      <alignment horizontal="center"/>
    </xf>
    <xf numFmtId="0" fontId="4" fillId="5" borderId="5" xfId="0" applyFont="1" applyFill="1" applyBorder="1" applyAlignment="1">
      <alignment vertical="center"/>
    </xf>
    <xf numFmtId="0" fontId="5" fillId="0" borderId="7" xfId="0" applyFont="1" applyBorder="1" applyAlignment="1">
      <alignment vertical="center"/>
    </xf>
    <xf numFmtId="0" fontId="6" fillId="0" borderId="7" xfId="0" applyFont="1" applyBorder="1" applyAlignment="1">
      <alignment vertical="center"/>
    </xf>
    <xf numFmtId="0" fontId="5" fillId="10" borderId="7" xfId="0" applyFont="1" applyFill="1" applyBorder="1" applyAlignment="1">
      <alignment vertical="center"/>
    </xf>
    <xf numFmtId="0" fontId="0" fillId="0" borderId="0" xfId="0" applyAlignment="1">
      <alignment vertical="center"/>
    </xf>
    <xf numFmtId="0" fontId="0" fillId="0" borderId="1" xfId="0" applyBorder="1" applyAlignment="1">
      <alignment horizontal="left" wrapText="1"/>
    </xf>
    <xf numFmtId="15" fontId="10" fillId="11" borderId="1" xfId="0" applyNumberFormat="1" applyFont="1" applyFill="1" applyBorder="1" applyAlignment="1">
      <alignment horizontal="center" vertical="center"/>
    </xf>
    <xf numFmtId="15" fontId="10" fillId="11" borderId="1" xfId="0" applyNumberFormat="1" applyFont="1" applyFill="1" applyBorder="1" applyAlignment="1">
      <alignment horizontal="center" vertical="center" wrapText="1"/>
    </xf>
    <xf numFmtId="15" fontId="11" fillId="11" borderId="0" xfId="0" applyNumberFormat="1" applyFont="1" applyFill="1" applyAlignment="1">
      <alignment horizontal="center" vertical="center"/>
    </xf>
    <xf numFmtId="0" fontId="0" fillId="0" borderId="0" xfId="0" applyAlignment="1">
      <alignment horizontal="left" vertical="center"/>
    </xf>
    <xf numFmtId="0" fontId="12" fillId="0" borderId="1" xfId="0" applyFont="1" applyBorder="1"/>
    <xf numFmtId="0" fontId="0" fillId="0" borderId="1" xfId="0" applyBorder="1" applyAlignment="1">
      <alignment vertical="center"/>
    </xf>
    <xf numFmtId="0" fontId="7" fillId="0" borderId="1" xfId="0" applyFont="1" applyBorder="1" applyAlignment="1">
      <alignment vertical="center" wrapText="1"/>
    </xf>
    <xf numFmtId="0" fontId="0" fillId="0" borderId="18" xfId="0" applyBorder="1" applyAlignment="1">
      <alignment horizontal="center" vertical="center"/>
    </xf>
    <xf numFmtId="15" fontId="0" fillId="0" borderId="16" xfId="0" applyNumberFormat="1" applyBorder="1" applyAlignment="1">
      <alignment horizontal="center" vertical="center"/>
    </xf>
    <xf numFmtId="0" fontId="0" fillId="0" borderId="19" xfId="0" applyBorder="1" applyAlignment="1">
      <alignment horizontal="center" vertical="center"/>
    </xf>
    <xf numFmtId="0" fontId="0" fillId="0" borderId="18" xfId="0" applyBorder="1"/>
    <xf numFmtId="15" fontId="0" fillId="0" borderId="14" xfId="0" applyNumberFormat="1" applyBorder="1" applyAlignment="1">
      <alignment horizontal="center" vertical="center"/>
    </xf>
    <xf numFmtId="0" fontId="0" fillId="0" borderId="16" xfId="0" applyBorder="1" applyAlignment="1">
      <alignment horizontal="center"/>
    </xf>
    <xf numFmtId="0" fontId="0" fillId="0" borderId="1" xfId="0" applyBorder="1" applyAlignment="1">
      <alignment horizontal="left" vertical="center"/>
    </xf>
    <xf numFmtId="0" fontId="5" fillId="8" borderId="2" xfId="0" applyFont="1" applyFill="1" applyBorder="1" applyAlignment="1">
      <alignment vertical="center"/>
    </xf>
    <xf numFmtId="0" fontId="0" fillId="0" borderId="1" xfId="0" applyBorder="1" applyAlignment="1">
      <alignment vertical="top" wrapText="1"/>
    </xf>
    <xf numFmtId="15" fontId="5" fillId="0" borderId="7" xfId="0" applyNumberFormat="1" applyFont="1" applyBorder="1" applyAlignment="1">
      <alignment horizontal="center" vertical="center"/>
    </xf>
    <xf numFmtId="15" fontId="5" fillId="10" borderId="7" xfId="0" applyNumberFormat="1" applyFont="1" applyFill="1" applyBorder="1" applyAlignment="1">
      <alignment horizontal="center" vertical="center"/>
    </xf>
    <xf numFmtId="0" fontId="5" fillId="0" borderId="9" xfId="0" applyFont="1" applyBorder="1" applyAlignment="1">
      <alignment vertical="center"/>
    </xf>
    <xf numFmtId="15" fontId="5" fillId="0" borderId="9" xfId="0" applyNumberFormat="1"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vertical="center" wrapText="1"/>
    </xf>
    <xf numFmtId="15" fontId="5" fillId="12" borderId="5" xfId="0" applyNumberFormat="1" applyFont="1" applyFill="1" applyBorder="1" applyAlignment="1">
      <alignment horizontal="center" vertical="center" wrapText="1"/>
    </xf>
    <xf numFmtId="0" fontId="5" fillId="0" borderId="9" xfId="0" applyFont="1" applyBorder="1" applyAlignment="1">
      <alignment vertical="center" wrapText="1"/>
    </xf>
    <xf numFmtId="0" fontId="0" fillId="0" borderId="9" xfId="0" applyBorder="1" applyAlignment="1">
      <alignment vertical="center" wrapText="1"/>
    </xf>
    <xf numFmtId="15" fontId="5" fillId="12" borderId="7" xfId="0" applyNumberFormat="1" applyFont="1" applyFill="1" applyBorder="1" applyAlignment="1">
      <alignment horizontal="center" vertical="center" wrapText="1"/>
    </xf>
    <xf numFmtId="0" fontId="5" fillId="0" borderId="5" xfId="0" applyFont="1" applyBorder="1" applyAlignment="1">
      <alignment vertical="center"/>
    </xf>
    <xf numFmtId="0" fontId="4" fillId="0" borderId="9" xfId="0" applyFont="1" applyBorder="1" applyAlignment="1">
      <alignment vertical="center" wrapText="1"/>
    </xf>
    <xf numFmtId="0" fontId="4" fillId="0" borderId="7" xfId="0" applyFont="1" applyBorder="1" applyAlignment="1">
      <alignment vertical="center" wrapText="1"/>
    </xf>
    <xf numFmtId="0" fontId="5" fillId="0" borderId="20" xfId="0" applyFont="1" applyBorder="1" applyAlignment="1">
      <alignment horizontal="center" vertical="center"/>
    </xf>
    <xf numFmtId="0" fontId="5" fillId="0" borderId="4" xfId="0" applyFont="1" applyBorder="1" applyAlignment="1">
      <alignment vertical="center"/>
    </xf>
    <xf numFmtId="0" fontId="14" fillId="0" borderId="7" xfId="0" applyFont="1" applyBorder="1" applyAlignment="1">
      <alignment vertical="center" wrapText="1"/>
    </xf>
    <xf numFmtId="0" fontId="5" fillId="13" borderId="7" xfId="0" applyFont="1" applyFill="1" applyBorder="1" applyAlignment="1">
      <alignment vertical="center"/>
    </xf>
    <xf numFmtId="0" fontId="15" fillId="13" borderId="7" xfId="0" applyFont="1" applyFill="1" applyBorder="1" applyAlignment="1">
      <alignment vertical="center" wrapText="1"/>
    </xf>
    <xf numFmtId="0" fontId="4" fillId="13" borderId="7" xfId="0" applyFont="1" applyFill="1" applyBorder="1" applyAlignment="1">
      <alignment vertical="center" wrapText="1"/>
    </xf>
    <xf numFmtId="0" fontId="2" fillId="13" borderId="1" xfId="0" applyFont="1" applyFill="1" applyBorder="1" applyAlignment="1">
      <alignment horizontal="center"/>
    </xf>
    <xf numFmtId="0" fontId="0" fillId="14" borderId="1" xfId="0" applyFill="1" applyBorder="1"/>
    <xf numFmtId="0" fontId="0" fillId="0" borderId="0" xfId="0" applyAlignment="1">
      <alignment horizontal="left"/>
    </xf>
    <xf numFmtId="0" fontId="1" fillId="0" borderId="1" xfId="1" applyBorder="1" applyAlignment="1">
      <alignment horizontal="left" vertical="top"/>
    </xf>
    <xf numFmtId="0" fontId="0" fillId="0" borderId="0" xfId="0" quotePrefix="1"/>
    <xf numFmtId="0" fontId="0" fillId="0" borderId="1" xfId="0"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top"/>
    </xf>
    <xf numFmtId="0" fontId="0" fillId="7" borderId="0" xfId="0" applyFill="1" applyAlignment="1">
      <alignment horizontal="center"/>
    </xf>
    <xf numFmtId="0" fontId="0" fillId="0" borderId="0" xfId="0" applyAlignment="1">
      <alignment horizontal="center"/>
    </xf>
    <xf numFmtId="0" fontId="0" fillId="4" borderId="0" xfId="0" applyFill="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15" fontId="10" fillId="11" borderId="2" xfId="0" applyNumberFormat="1" applyFont="1" applyFill="1" applyBorder="1" applyAlignment="1">
      <alignment horizontal="center" vertical="center" wrapText="1"/>
    </xf>
    <xf numFmtId="0" fontId="5" fillId="4" borderId="1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0" xfId="0" applyFont="1" applyBorder="1" applyAlignment="1">
      <alignment horizontal="center" vertical="center"/>
    </xf>
    <xf numFmtId="0" fontId="5" fillId="0" borderId="8" xfId="0" applyFont="1" applyBorder="1" applyAlignment="1">
      <alignment horizontal="center" vertical="center"/>
    </xf>
    <xf numFmtId="0" fontId="5" fillId="0" borderId="6" xfId="0" applyFont="1" applyBorder="1" applyAlignment="1">
      <alignment horizontal="center" vertical="center"/>
    </xf>
    <xf numFmtId="0" fontId="5" fillId="0" borderId="10" xfId="0" applyFont="1" applyBorder="1" applyAlignment="1">
      <alignment horizontal="center" vertical="center" wrapText="1"/>
    </xf>
    <xf numFmtId="0" fontId="5" fillId="0" borderId="10" xfId="0" applyFont="1" applyBorder="1" applyAlignment="1">
      <alignment vertical="center"/>
    </xf>
    <xf numFmtId="0" fontId="5" fillId="0" borderId="8" xfId="0" applyFont="1" applyBorder="1" applyAlignment="1">
      <alignment vertical="center"/>
    </xf>
    <xf numFmtId="0" fontId="5" fillId="0" borderId="6" xfId="0" applyFont="1" applyBorder="1" applyAlignment="1">
      <alignment vertical="center"/>
    </xf>
    <xf numFmtId="15" fontId="5" fillId="0" borderId="10" xfId="0" applyNumberFormat="1" applyFont="1" applyBorder="1" applyAlignment="1">
      <alignment horizontal="center" vertical="center"/>
    </xf>
    <xf numFmtId="15" fontId="5" fillId="0" borderId="8" xfId="0" applyNumberFormat="1" applyFont="1" applyBorder="1" applyAlignment="1">
      <alignment horizontal="center" vertical="center"/>
    </xf>
    <xf numFmtId="15" fontId="5" fillId="0" borderId="6" xfId="0" applyNumberFormat="1" applyFont="1" applyBorder="1" applyAlignment="1">
      <alignment horizontal="center" vertical="center"/>
    </xf>
    <xf numFmtId="0" fontId="5" fillId="12" borderId="10" xfId="0" applyFont="1" applyFill="1" applyBorder="1" applyAlignment="1">
      <alignment vertical="center"/>
    </xf>
    <xf numFmtId="0" fontId="5" fillId="12" borderId="6" xfId="0" applyFont="1" applyFill="1" applyBorder="1" applyAlignment="1">
      <alignment vertical="center"/>
    </xf>
    <xf numFmtId="0" fontId="5" fillId="0" borderId="10" xfId="0" applyFont="1" applyBorder="1" applyAlignment="1">
      <alignment vertical="center" wrapText="1"/>
    </xf>
    <xf numFmtId="0" fontId="5" fillId="0" borderId="6" xfId="0" applyFont="1" applyBorder="1" applyAlignment="1">
      <alignment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xf>
    <xf numFmtId="15" fontId="5"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0" fillId="0" borderId="17" xfId="0" applyBorder="1" applyAlignment="1">
      <alignment horizontal="left" vertical="center"/>
    </xf>
    <xf numFmtId="0" fontId="0" fillId="0" borderId="13" xfId="0" applyBorder="1" applyAlignment="1">
      <alignment horizontal="left" vertical="center"/>
    </xf>
    <xf numFmtId="0" fontId="1" fillId="2" borderId="2" xfId="1" applyFill="1" applyBorder="1" applyAlignment="1">
      <alignment horizontal="left" vertical="center"/>
    </xf>
    <xf numFmtId="0" fontId="1" fillId="2" borderId="3" xfId="1" applyFill="1"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13" fillId="13" borderId="1" xfId="0" applyFont="1" applyFill="1" applyBorder="1" applyAlignment="1">
      <alignment horizontal="center" vertical="center"/>
    </xf>
    <xf numFmtId="0" fontId="13" fillId="13" borderId="1" xfId="0" applyFont="1" applyFill="1" applyBorder="1" applyAlignment="1">
      <alignment vertical="center"/>
    </xf>
    <xf numFmtId="0" fontId="13" fillId="13" borderId="12" xfId="0" applyFont="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0</xdr:colOff>
      <xdr:row>19</xdr:row>
      <xdr:rowOff>0</xdr:rowOff>
    </xdr:from>
    <xdr:to>
      <xdr:col>1</xdr:col>
      <xdr:colOff>304800</xdr:colOff>
      <xdr:row>20</xdr:row>
      <xdr:rowOff>104775</xdr:rowOff>
    </xdr:to>
    <xdr:sp macro="" textlink="">
      <xdr:nvSpPr>
        <xdr:cNvPr id="2" name="Rectangle 4" descr="https://cloudmail20.netcore.co.in/?/Raw/View/11921/0YzZGfuzsi-na8FmEYL55dLPFX808SRj3mt4HV6IR49JCLS24TSBAaRwTkD0XgoX0KFSGYKJgE9daZnncDMQR4ZYUdrm_HWQCxmgJrhPWyUzXEtRLxRNgsVdACEK3Xo0XGO9e9sDOf0rpOT2jJKyJr9BlUtGLXwjlMcbu04-5ZvgJhjVT4rxmh8UmQfnK90PhAB8IWMTmp3vmV9VEHQiwkTYjdqd8kvUMadj3bB_5upMcce3/0">
          <a:extLst>
            <a:ext uri="{FF2B5EF4-FFF2-40B4-BE49-F238E27FC236}">
              <a16:creationId xmlns:a16="http://schemas.microsoft.com/office/drawing/2014/main" id="{838EEF67-5736-4667-B569-99A12432F3E3}"/>
            </a:ext>
          </a:extLst>
        </xdr:cNvPr>
        <xdr:cNvSpPr>
          <a:spLocks noChangeAspect="1" noChangeArrowheads="1"/>
        </xdr:cNvSpPr>
      </xdr:nvSpPr>
      <xdr:spPr bwMode="auto">
        <a:xfrm>
          <a:off x="847725" y="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19</xdr:row>
      <xdr:rowOff>0</xdr:rowOff>
    </xdr:from>
    <xdr:to>
      <xdr:col>0</xdr:col>
      <xdr:colOff>304800</xdr:colOff>
      <xdr:row>20</xdr:row>
      <xdr:rowOff>104775</xdr:rowOff>
    </xdr:to>
    <xdr:sp macro="" textlink="">
      <xdr:nvSpPr>
        <xdr:cNvPr id="3" name="Rectangle 5" descr="https://cloudmail20.netcore.co.in/?/Raw/View/11921/0YzZGfuzsi-na8FmEYL55dLPFX808SRj3mt4HV6IR49JCLS24TSBAaRwTkD0XgoX0KFSGYKJgE9daZnncDMQR4ZYUdrm_HWQCxmgJrhPWyUzXEtRLxRNgsVdACEK3Xo0XGO9e9sDOf0rpOT2jJKyJr9BlUtGLXwjlMcbu04-5ZvgJhjVT4rxmh8UmQfnK90PhAB8IWMTmp3vmV9VEHQiwkTYjdqd8kvUMadj3bB_5upMcce3/0">
          <a:extLst>
            <a:ext uri="{FF2B5EF4-FFF2-40B4-BE49-F238E27FC236}">
              <a16:creationId xmlns:a16="http://schemas.microsoft.com/office/drawing/2014/main" id="{8D433A97-69F8-4AAB-94FE-BF5D9DA48356}"/>
            </a:ext>
          </a:extLst>
        </xdr:cNvPr>
        <xdr:cNvSpPr>
          <a:spLocks noChangeAspect="1" noChangeArrowheads="1"/>
        </xdr:cNvSpPr>
      </xdr:nvSpPr>
      <xdr:spPr bwMode="auto">
        <a:xfrm>
          <a:off x="0" y="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0</xdr:colOff>
      <xdr:row>19</xdr:row>
      <xdr:rowOff>0</xdr:rowOff>
    </xdr:from>
    <xdr:to>
      <xdr:col>1</xdr:col>
      <xdr:colOff>304800</xdr:colOff>
      <xdr:row>20</xdr:row>
      <xdr:rowOff>104775</xdr:rowOff>
    </xdr:to>
    <xdr:sp macro="" textlink="">
      <xdr:nvSpPr>
        <xdr:cNvPr id="4" name="Rectangle 4" descr="https://cloudmail20.netcore.co.in/?/Raw/View/11921/0YzZGfuzsi-na8FmEYL55dLPFX808SRj3mt4HV6IR49JCLS24TSBAaRwTkD0XgoX0KFSGYKJgE9daZnncDMQR4ZYUdrm_HWQCxmgJrhPWyUzXEtRLxRNgsVdACEK3Xo0XGO9e9sDOf0rpOT2jJKyJr9BlUtGLXwjlMcbu04-5ZvgJhjVT4rxmh8UmQfnK90PhAB8IWMTmp3vmV9VEHQiwkTYjdqd8kvUMadj3bB_5upMcce3/0">
          <a:extLst>
            <a:ext uri="{FF2B5EF4-FFF2-40B4-BE49-F238E27FC236}">
              <a16:creationId xmlns:a16="http://schemas.microsoft.com/office/drawing/2014/main" id="{D50E7A87-34AE-48A8-B54B-FD910418B81E}"/>
            </a:ext>
          </a:extLst>
        </xdr:cNvPr>
        <xdr:cNvSpPr>
          <a:spLocks noChangeAspect="1" noChangeArrowheads="1"/>
        </xdr:cNvSpPr>
      </xdr:nvSpPr>
      <xdr:spPr bwMode="auto">
        <a:xfrm>
          <a:off x="847725" y="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19</xdr:row>
      <xdr:rowOff>0</xdr:rowOff>
    </xdr:from>
    <xdr:to>
      <xdr:col>0</xdr:col>
      <xdr:colOff>304800</xdr:colOff>
      <xdr:row>20</xdr:row>
      <xdr:rowOff>104775</xdr:rowOff>
    </xdr:to>
    <xdr:sp macro="" textlink="">
      <xdr:nvSpPr>
        <xdr:cNvPr id="5" name="Rectangle 5" descr="https://cloudmail20.netcore.co.in/?/Raw/View/11921/0YzZGfuzsi-na8FmEYL55dLPFX808SRj3mt4HV6IR49JCLS24TSBAaRwTkD0XgoX0KFSGYKJgE9daZnncDMQR4ZYUdrm_HWQCxmgJrhPWyUzXEtRLxRNgsVdACEK3Xo0XGO9e9sDOf0rpOT2jJKyJr9BlUtGLXwjlMcbu04-5ZvgJhjVT4rxmh8UmQfnK90PhAB8IWMTmp3vmV9VEHQiwkTYjdqd8kvUMadj3bB_5upMcce3/0">
          <a:extLst>
            <a:ext uri="{FF2B5EF4-FFF2-40B4-BE49-F238E27FC236}">
              <a16:creationId xmlns:a16="http://schemas.microsoft.com/office/drawing/2014/main" id="{63928CC0-F21C-4674-9344-D763481FEDC1}"/>
            </a:ext>
          </a:extLst>
        </xdr:cNvPr>
        <xdr:cNvSpPr>
          <a:spLocks noChangeAspect="1" noChangeArrowheads="1"/>
        </xdr:cNvSpPr>
      </xdr:nvSpPr>
      <xdr:spPr bwMode="auto">
        <a:xfrm>
          <a:off x="0" y="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0</xdr:colOff>
      <xdr:row>19</xdr:row>
      <xdr:rowOff>0</xdr:rowOff>
    </xdr:from>
    <xdr:to>
      <xdr:col>1</xdr:col>
      <xdr:colOff>304800</xdr:colOff>
      <xdr:row>20</xdr:row>
      <xdr:rowOff>104775</xdr:rowOff>
    </xdr:to>
    <xdr:sp macro="" textlink="">
      <xdr:nvSpPr>
        <xdr:cNvPr id="6" name="Rectangle 4" descr="https://cloudmail20.netcore.co.in/?/Raw/View/11921/0YzZGfuzsi-na8FmEYL55dLPFX808SRj3mt4HV6IR49JCLS24TSBAaRwTkD0XgoX0KFSGYKJgE9daZnncDMQR4ZYUdrm_HWQCxmgJrhPWyUzXEtRLxRNgsVdACEK3Xo0XGO9e9sDOf0rpOT2jJKyJr9BlUtGLXwjlMcbu04-5ZvgJhjVT4rxmh8UmQfnK90PhAB8IWMTmp3vmV9VEHQiwkTYjdqd8kvUMadj3bB_5upMcce3/0">
          <a:extLst>
            <a:ext uri="{FF2B5EF4-FFF2-40B4-BE49-F238E27FC236}">
              <a16:creationId xmlns:a16="http://schemas.microsoft.com/office/drawing/2014/main" id="{94122B05-4765-4919-9AEC-30C85B5D7818}"/>
            </a:ext>
          </a:extLst>
        </xdr:cNvPr>
        <xdr:cNvSpPr>
          <a:spLocks noChangeAspect="1" noChangeArrowheads="1"/>
        </xdr:cNvSpPr>
      </xdr:nvSpPr>
      <xdr:spPr bwMode="auto">
        <a:xfrm>
          <a:off x="847725" y="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19</xdr:row>
      <xdr:rowOff>0</xdr:rowOff>
    </xdr:from>
    <xdr:to>
      <xdr:col>0</xdr:col>
      <xdr:colOff>304800</xdr:colOff>
      <xdr:row>20</xdr:row>
      <xdr:rowOff>104775</xdr:rowOff>
    </xdr:to>
    <xdr:sp macro="" textlink="">
      <xdr:nvSpPr>
        <xdr:cNvPr id="7" name="Rectangle 5" descr="https://cloudmail20.netcore.co.in/?/Raw/View/11921/0YzZGfuzsi-na8FmEYL55dLPFX808SRj3mt4HV6IR49JCLS24TSBAaRwTkD0XgoX0KFSGYKJgE9daZnncDMQR4ZYUdrm_HWQCxmgJrhPWyUzXEtRLxRNgsVdACEK3Xo0XGO9e9sDOf0rpOT2jJKyJr9BlUtGLXwjlMcbu04-5ZvgJhjVT4rxmh8UmQfnK90PhAB8IWMTmp3vmV9VEHQiwkTYjdqd8kvUMadj3bB_5upMcce3/0">
          <a:extLst>
            <a:ext uri="{FF2B5EF4-FFF2-40B4-BE49-F238E27FC236}">
              <a16:creationId xmlns:a16="http://schemas.microsoft.com/office/drawing/2014/main" id="{D2B7314E-F928-46DF-82D7-2A041CEB4D1E}"/>
            </a:ext>
          </a:extLst>
        </xdr:cNvPr>
        <xdr:cNvSpPr>
          <a:spLocks noChangeAspect="1" noChangeArrowheads="1"/>
        </xdr:cNvSpPr>
      </xdr:nvSpPr>
      <xdr:spPr bwMode="auto">
        <a:xfrm>
          <a:off x="0" y="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0</xdr:colOff>
      <xdr:row>19</xdr:row>
      <xdr:rowOff>0</xdr:rowOff>
    </xdr:from>
    <xdr:to>
      <xdr:col>1</xdr:col>
      <xdr:colOff>304800</xdr:colOff>
      <xdr:row>20</xdr:row>
      <xdr:rowOff>104775</xdr:rowOff>
    </xdr:to>
    <xdr:sp macro="" textlink="">
      <xdr:nvSpPr>
        <xdr:cNvPr id="8" name="Rectangle 4" descr="https://cloudmail20.netcore.co.in/?/Raw/View/11921/0YzZGfuzsi-na8FmEYL55dLPFX808SRj3mt4HV6IR49JCLS24TSBAaRwTkD0XgoX0KFSGYKJgE9daZnncDMQR4ZYUdrm_HWQCxmgJrhPWyUzXEtRLxRNgsVdACEK3Xo0XGO9e9sDOf0rpOT2jJKyJr9BlUtGLXwjlMcbu04-5ZvgJhjVT4rxmh8UmQfnK90PhAB8IWMTmp3vmV9VEHQiwkTYjdqd8kvUMadj3bB_5upMcce3/0">
          <a:extLst>
            <a:ext uri="{FF2B5EF4-FFF2-40B4-BE49-F238E27FC236}">
              <a16:creationId xmlns:a16="http://schemas.microsoft.com/office/drawing/2014/main" id="{5D9506B7-7509-4DC1-A941-5583AF60C1E8}"/>
            </a:ext>
          </a:extLst>
        </xdr:cNvPr>
        <xdr:cNvSpPr>
          <a:spLocks noChangeAspect="1" noChangeArrowheads="1"/>
        </xdr:cNvSpPr>
      </xdr:nvSpPr>
      <xdr:spPr bwMode="auto">
        <a:xfrm>
          <a:off x="847725" y="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19</xdr:row>
      <xdr:rowOff>0</xdr:rowOff>
    </xdr:from>
    <xdr:to>
      <xdr:col>0</xdr:col>
      <xdr:colOff>304800</xdr:colOff>
      <xdr:row>20</xdr:row>
      <xdr:rowOff>104775</xdr:rowOff>
    </xdr:to>
    <xdr:sp macro="" textlink="">
      <xdr:nvSpPr>
        <xdr:cNvPr id="9" name="Rectangle 5" descr="https://cloudmail20.netcore.co.in/?/Raw/View/11921/0YzZGfuzsi-na8FmEYL55dLPFX808SRj3mt4HV6IR49JCLS24TSBAaRwTkD0XgoX0KFSGYKJgE9daZnncDMQR4ZYUdrm_HWQCxmgJrhPWyUzXEtRLxRNgsVdACEK3Xo0XGO9e9sDOf0rpOT2jJKyJr9BlUtGLXwjlMcbu04-5ZvgJhjVT4rxmh8UmQfnK90PhAB8IWMTmp3vmV9VEHQiwkTYjdqd8kvUMadj3bB_5upMcce3/0">
          <a:extLst>
            <a:ext uri="{FF2B5EF4-FFF2-40B4-BE49-F238E27FC236}">
              <a16:creationId xmlns:a16="http://schemas.microsoft.com/office/drawing/2014/main" id="{4160AA0F-BD7E-4D4E-A178-49AC895ECFCE}"/>
            </a:ext>
          </a:extLst>
        </xdr:cNvPr>
        <xdr:cNvSpPr>
          <a:spLocks noChangeAspect="1" noChangeArrowheads="1"/>
        </xdr:cNvSpPr>
      </xdr:nvSpPr>
      <xdr:spPr bwMode="auto">
        <a:xfrm>
          <a:off x="0" y="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0</xdr:colOff>
      <xdr:row>19</xdr:row>
      <xdr:rowOff>0</xdr:rowOff>
    </xdr:from>
    <xdr:to>
      <xdr:col>1</xdr:col>
      <xdr:colOff>304800</xdr:colOff>
      <xdr:row>19</xdr:row>
      <xdr:rowOff>104775</xdr:rowOff>
    </xdr:to>
    <xdr:sp macro="" textlink="">
      <xdr:nvSpPr>
        <xdr:cNvPr id="10" name="Rectangle 4" descr="https://cloudmail20.netcore.co.in/?/Raw/View/11921/0YzZGfuzsi-na8FmEYL55dLPFX808SRj3mt4HV6IR49JCLS24TSBAaRwTkD0XgoX0KFSGYKJgE9daZnncDMQR4ZYUdrm_HWQCxmgJrhPWyUzXEtRLxRNgsVdACEK3Xo0XGO9e9sDOf0rpOT2jJKyJr9BlUtGLXwjlMcbu04-5ZvgJhjVT4rxmh8UmQfnK90PhAB8IWMTmp3vmV9VEHQiwkTYjdqd8kvUMadj3bB_5upMcce3/0">
          <a:extLst>
            <a:ext uri="{FF2B5EF4-FFF2-40B4-BE49-F238E27FC236}">
              <a16:creationId xmlns:a16="http://schemas.microsoft.com/office/drawing/2014/main" id="{BFDEA39E-0D3E-4043-A146-56C48934C4A9}"/>
            </a:ext>
          </a:extLst>
        </xdr:cNvPr>
        <xdr:cNvSpPr>
          <a:spLocks noChangeAspect="1" noChangeArrowheads="1"/>
        </xdr:cNvSpPr>
      </xdr:nvSpPr>
      <xdr:spPr bwMode="auto">
        <a:xfrm>
          <a:off x="847725" y="0"/>
          <a:ext cx="3048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19</xdr:row>
      <xdr:rowOff>0</xdr:rowOff>
    </xdr:from>
    <xdr:to>
      <xdr:col>0</xdr:col>
      <xdr:colOff>304800</xdr:colOff>
      <xdr:row>19</xdr:row>
      <xdr:rowOff>104775</xdr:rowOff>
    </xdr:to>
    <xdr:sp macro="" textlink="">
      <xdr:nvSpPr>
        <xdr:cNvPr id="11" name="Rectangle 5" descr="https://cloudmail20.netcore.co.in/?/Raw/View/11921/0YzZGfuzsi-na8FmEYL55dLPFX808SRj3mt4HV6IR49JCLS24TSBAaRwTkD0XgoX0KFSGYKJgE9daZnncDMQR4ZYUdrm_HWQCxmgJrhPWyUzXEtRLxRNgsVdACEK3Xo0XGO9e9sDOf0rpOT2jJKyJr9BlUtGLXwjlMcbu04-5ZvgJhjVT4rxmh8UmQfnK90PhAB8IWMTmp3vmV9VEHQiwkTYjdqd8kvUMadj3bB_5upMcce3/0">
          <a:extLst>
            <a:ext uri="{FF2B5EF4-FFF2-40B4-BE49-F238E27FC236}">
              <a16:creationId xmlns:a16="http://schemas.microsoft.com/office/drawing/2014/main" id="{60EF9B0A-F28B-4FD6-9BB3-CC4B8A0B34BE}"/>
            </a:ext>
          </a:extLst>
        </xdr:cNvPr>
        <xdr:cNvSpPr>
          <a:spLocks noChangeAspect="1" noChangeArrowheads="1"/>
        </xdr:cNvSpPr>
      </xdr:nvSpPr>
      <xdr:spPr bwMode="auto">
        <a:xfrm>
          <a:off x="0" y="0"/>
          <a:ext cx="3048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23.111.175.186/InfinityERP/FTE/FTEConfiguration.aspx" TargetMode="External"/><Relationship Id="rId1" Type="http://schemas.openxmlformats.org/officeDocument/2006/relationships/hyperlink" Target="http://23.111.175.186/InfinityERP/FTE/FTEBilling.aspx"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23.111.175.186/InfinityERP/OST/OSTReport.aspx" TargetMode="External"/><Relationship Id="rId2" Type="http://schemas.openxmlformats.org/officeDocument/2006/relationships/hyperlink" Target="http://23.111.175.186/InfinityERP/OST/OSTReport.aspx" TargetMode="External"/><Relationship Id="rId1" Type="http://schemas.openxmlformats.org/officeDocument/2006/relationships/hyperlink" Target="http://23.111.175.186/InfinityERP/OST/OSTReport.aspx" TargetMode="External"/><Relationship Id="rId6" Type="http://schemas.openxmlformats.org/officeDocument/2006/relationships/printerSettings" Target="../printerSettings/printerSettings1.bin"/><Relationship Id="rId5" Type="http://schemas.openxmlformats.org/officeDocument/2006/relationships/hyperlink" Target="http://23.111.175.186/InfinityERP/OST/ViewAllFeedbackByUserWise.aspx" TargetMode="External"/><Relationship Id="rId4" Type="http://schemas.openxmlformats.org/officeDocument/2006/relationships/hyperlink" Target="http://23.111.175.186/InfinityERP/OST/TrackingReport.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7C7DF-C6C4-49A3-A89B-BBC69E104BFD}">
  <dimension ref="B2:F19"/>
  <sheetViews>
    <sheetView topLeftCell="C10" workbookViewId="0">
      <selection activeCell="H16" sqref="H16"/>
    </sheetView>
  </sheetViews>
  <sheetFormatPr defaultColWidth="26.140625" defaultRowHeight="15" x14ac:dyDescent="0.25"/>
  <cols>
    <col min="1" max="1" width="14.85546875" style="3" customWidth="1"/>
    <col min="2" max="2" width="51.140625" style="3" customWidth="1"/>
    <col min="3" max="16384" width="26.140625" style="3"/>
  </cols>
  <sheetData>
    <row r="2" spans="2:6" x14ac:dyDescent="0.25">
      <c r="B2" s="3" t="s">
        <v>180</v>
      </c>
      <c r="D2" s="3">
        <v>9887</v>
      </c>
      <c r="E2" s="3">
        <v>9887</v>
      </c>
    </row>
    <row r="3" spans="2:6" x14ac:dyDescent="0.25">
      <c r="B3" s="3" t="s">
        <v>181</v>
      </c>
      <c r="D3" s="3">
        <v>4236</v>
      </c>
      <c r="E3" s="3">
        <v>2000</v>
      </c>
    </row>
    <row r="4" spans="2:6" x14ac:dyDescent="0.25">
      <c r="B4" s="113" t="s">
        <v>182</v>
      </c>
      <c r="D4" s="3">
        <v>3205</v>
      </c>
    </row>
    <row r="5" spans="2:6" x14ac:dyDescent="0.25">
      <c r="B5" s="113" t="s">
        <v>183</v>
      </c>
      <c r="D5" s="3">
        <v>488</v>
      </c>
    </row>
    <row r="6" spans="2:6" x14ac:dyDescent="0.25">
      <c r="B6" s="113" t="s">
        <v>184</v>
      </c>
      <c r="D6" s="3">
        <v>17816</v>
      </c>
      <c r="E6" s="3">
        <f>SUM(E2:E5)</f>
        <v>11887</v>
      </c>
    </row>
    <row r="7" spans="2:6" x14ac:dyDescent="0.25">
      <c r="B7" s="113" t="s">
        <v>185</v>
      </c>
      <c r="E7" s="3">
        <f>D6-E6</f>
        <v>5929</v>
      </c>
    </row>
    <row r="8" spans="2:6" x14ac:dyDescent="0.25">
      <c r="B8" s="113" t="s">
        <v>186</v>
      </c>
    </row>
    <row r="9" spans="2:6" x14ac:dyDescent="0.25">
      <c r="B9" s="113" t="s">
        <v>187</v>
      </c>
    </row>
    <row r="10" spans="2:6" x14ac:dyDescent="0.25">
      <c r="B10" s="113" t="s">
        <v>188</v>
      </c>
      <c r="C10" s="3" t="s">
        <v>31</v>
      </c>
      <c r="D10" s="3">
        <v>4990</v>
      </c>
      <c r="E10" s="3">
        <f>D9-E9</f>
        <v>0</v>
      </c>
    </row>
    <row r="11" spans="2:6" x14ac:dyDescent="0.25">
      <c r="B11" s="113" t="s">
        <v>189</v>
      </c>
      <c r="C11" s="3" t="s">
        <v>31</v>
      </c>
      <c r="D11" s="3">
        <v>2890</v>
      </c>
      <c r="E11" s="3">
        <f>SUM(E9:E10)</f>
        <v>0</v>
      </c>
    </row>
    <row r="12" spans="2:6" x14ac:dyDescent="0.25">
      <c r="B12" s="3" t="s">
        <v>190</v>
      </c>
      <c r="D12" s="3">
        <f>SUM(D10:D11)</f>
        <v>7880</v>
      </c>
      <c r="E12" s="3">
        <f>E11+E10</f>
        <v>0</v>
      </c>
    </row>
    <row r="13" spans="2:6" x14ac:dyDescent="0.25">
      <c r="B13" s="3" t="s">
        <v>191</v>
      </c>
      <c r="D13" s="8" t="s">
        <v>32</v>
      </c>
      <c r="E13" s="8">
        <v>14000</v>
      </c>
    </row>
    <row r="14" spans="2:6" x14ac:dyDescent="0.25">
      <c r="B14" s="3" t="s">
        <v>96</v>
      </c>
    </row>
    <row r="15" spans="2:6" x14ac:dyDescent="0.25">
      <c r="B15" s="113" t="s">
        <v>192</v>
      </c>
      <c r="C15" s="3" t="s">
        <v>179</v>
      </c>
      <c r="F15" s="3">
        <v>328</v>
      </c>
    </row>
    <row r="16" spans="2:6" x14ac:dyDescent="0.25">
      <c r="B16" s="113" t="s">
        <v>193</v>
      </c>
      <c r="F16" s="3">
        <f>F15/2</f>
        <v>164</v>
      </c>
    </row>
    <row r="18" spans="6:6" x14ac:dyDescent="0.25">
      <c r="F18" s="3">
        <v>328</v>
      </c>
    </row>
    <row r="19" spans="6:6" x14ac:dyDescent="0.25">
      <c r="F19" s="3">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354B0-5B75-406D-BCC8-412600D3CD1A}">
  <dimension ref="G4:Q27"/>
  <sheetViews>
    <sheetView tabSelected="1" topLeftCell="A10" workbookViewId="0">
      <selection activeCell="M22" sqref="M22"/>
    </sheetView>
  </sheetViews>
  <sheetFormatPr defaultRowHeight="15" x14ac:dyDescent="0.25"/>
  <sheetData>
    <row r="4" spans="7:16" x14ac:dyDescent="0.25">
      <c r="J4">
        <v>164</v>
      </c>
    </row>
    <row r="5" spans="7:16" x14ac:dyDescent="0.25">
      <c r="J5">
        <v>492</v>
      </c>
      <c r="K5">
        <v>392</v>
      </c>
      <c r="M5">
        <f>164+392</f>
        <v>556</v>
      </c>
      <c r="O5">
        <v>164</v>
      </c>
      <c r="P5">
        <f>O5*2</f>
        <v>328</v>
      </c>
    </row>
    <row r="6" spans="7:16" x14ac:dyDescent="0.25">
      <c r="M6">
        <f>M5/492</f>
        <v>1.1300813008130082</v>
      </c>
      <c r="O6">
        <v>120</v>
      </c>
      <c r="P6">
        <v>120</v>
      </c>
    </row>
    <row r="7" spans="7:16" x14ac:dyDescent="0.25">
      <c r="J7">
        <v>392</v>
      </c>
    </row>
    <row r="12" spans="7:16" x14ac:dyDescent="0.25">
      <c r="G12">
        <v>164</v>
      </c>
      <c r="J12">
        <f>(110*392)</f>
        <v>43120</v>
      </c>
    </row>
    <row r="13" spans="7:16" x14ac:dyDescent="0.25">
      <c r="G13">
        <v>492</v>
      </c>
      <c r="H13">
        <v>392</v>
      </c>
      <c r="J13">
        <f>J12/492</f>
        <v>87.642276422764226</v>
      </c>
    </row>
    <row r="15" spans="7:16" x14ac:dyDescent="0.25">
      <c r="L15">
        <v>164</v>
      </c>
    </row>
    <row r="16" spans="7:16" x14ac:dyDescent="0.25">
      <c r="H16">
        <f>(164*392)</f>
        <v>64288</v>
      </c>
      <c r="L16">
        <v>164</v>
      </c>
    </row>
    <row r="17" spans="8:17" x14ac:dyDescent="0.25">
      <c r="H17">
        <f>H16/492</f>
        <v>130.66666666666666</v>
      </c>
      <c r="L17">
        <v>120</v>
      </c>
    </row>
    <row r="18" spans="8:17" x14ac:dyDescent="0.25">
      <c r="H18">
        <f>H17*2</f>
        <v>261.33333333333331</v>
      </c>
      <c r="L18">
        <f>SUM(L15:L17)</f>
        <v>448</v>
      </c>
    </row>
    <row r="19" spans="8:17" x14ac:dyDescent="0.25">
      <c r="H19">
        <f>H18+J13</f>
        <v>348.97560975609753</v>
      </c>
      <c r="L19">
        <v>45</v>
      </c>
    </row>
    <row r="20" spans="8:17" x14ac:dyDescent="0.25">
      <c r="L20">
        <f>L19+L18</f>
        <v>493</v>
      </c>
      <c r="O20">
        <f>O19+O18</f>
        <v>0</v>
      </c>
    </row>
    <row r="22" spans="8:17" x14ac:dyDescent="0.25">
      <c r="N22">
        <v>164</v>
      </c>
      <c r="O22" t="s">
        <v>197</v>
      </c>
      <c r="Q22">
        <f>392/3</f>
        <v>130.66666666666666</v>
      </c>
    </row>
    <row r="23" spans="8:17" x14ac:dyDescent="0.25">
      <c r="N23">
        <v>493</v>
      </c>
      <c r="O23">
        <v>392</v>
      </c>
    </row>
    <row r="24" spans="8:17" x14ac:dyDescent="0.25">
      <c r="Q24">
        <v>392</v>
      </c>
    </row>
    <row r="26" spans="8:17" x14ac:dyDescent="0.25">
      <c r="N26">
        <f>N22*O23</f>
        <v>64288</v>
      </c>
    </row>
    <row r="27" spans="8:17" x14ac:dyDescent="0.25">
      <c r="N27">
        <f>N26/493</f>
        <v>130.40162271805275</v>
      </c>
      <c r="O27">
        <f>N27*2</f>
        <v>260.8032454361055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13876-5BC3-46D2-B4B3-ED9D02DC784E}">
  <dimension ref="A1:M20"/>
  <sheetViews>
    <sheetView topLeftCell="B10" workbookViewId="0">
      <selection activeCell="I26" sqref="I26"/>
    </sheetView>
  </sheetViews>
  <sheetFormatPr defaultRowHeight="15" x14ac:dyDescent="0.25"/>
  <cols>
    <col min="1" max="1" width="24.42578125" customWidth="1"/>
    <col min="2" max="2" width="73.5703125" customWidth="1"/>
    <col min="3" max="3" width="21.5703125" customWidth="1"/>
    <col min="4" max="4" width="24" customWidth="1"/>
  </cols>
  <sheetData>
    <row r="1" spans="1:10" x14ac:dyDescent="0.25">
      <c r="A1" s="117" t="s">
        <v>2</v>
      </c>
      <c r="B1" s="115" t="s">
        <v>1</v>
      </c>
      <c r="C1" s="3" t="s">
        <v>4</v>
      </c>
    </row>
    <row r="2" spans="1:10" x14ac:dyDescent="0.25">
      <c r="A2" s="117"/>
      <c r="B2" s="3" t="s">
        <v>3</v>
      </c>
      <c r="C2" s="3" t="s">
        <v>5</v>
      </c>
    </row>
    <row r="3" spans="1:10" x14ac:dyDescent="0.25">
      <c r="A3" s="117"/>
      <c r="B3" s="5" t="s">
        <v>6</v>
      </c>
      <c r="C3" s="2" t="s">
        <v>6</v>
      </c>
      <c r="D3" s="114" t="s">
        <v>14</v>
      </c>
    </row>
    <row r="4" spans="1:10" x14ac:dyDescent="0.25">
      <c r="A4" s="117" t="s">
        <v>8</v>
      </c>
      <c r="B4" s="3" t="s">
        <v>7</v>
      </c>
      <c r="C4" s="3" t="s">
        <v>10</v>
      </c>
    </row>
    <row r="5" spans="1:10" x14ac:dyDescent="0.25">
      <c r="A5" s="117"/>
      <c r="B5" s="3" t="s">
        <v>9</v>
      </c>
      <c r="C5" s="3" t="s">
        <v>9</v>
      </c>
    </row>
    <row r="6" spans="1:10" x14ac:dyDescent="0.25">
      <c r="A6" s="2" t="s">
        <v>11</v>
      </c>
      <c r="B6" s="4" t="s">
        <v>12</v>
      </c>
      <c r="C6" s="3"/>
      <c r="D6" t="s">
        <v>13</v>
      </c>
    </row>
    <row r="8" spans="1:10" x14ac:dyDescent="0.25">
      <c r="B8" s="116" t="s">
        <v>196</v>
      </c>
      <c r="C8">
        <v>2017</v>
      </c>
      <c r="D8" s="116" t="s">
        <v>195</v>
      </c>
    </row>
    <row r="9" spans="1:10" x14ac:dyDescent="0.25">
      <c r="B9" s="116" t="s">
        <v>196</v>
      </c>
      <c r="C9">
        <v>2018</v>
      </c>
      <c r="D9" s="116" t="s">
        <v>195</v>
      </c>
    </row>
    <row r="10" spans="1:10" x14ac:dyDescent="0.25">
      <c r="B10" s="116" t="s">
        <v>196</v>
      </c>
      <c r="C10">
        <v>2019</v>
      </c>
      <c r="D10" s="116" t="s">
        <v>195</v>
      </c>
      <c r="H10" s="116" t="s">
        <v>196</v>
      </c>
      <c r="I10">
        <v>2017</v>
      </c>
      <c r="J10" s="116" t="s">
        <v>195</v>
      </c>
    </row>
    <row r="11" spans="1:10" x14ac:dyDescent="0.25">
      <c r="B11" s="116" t="s">
        <v>196</v>
      </c>
      <c r="C11">
        <v>1.5</v>
      </c>
      <c r="D11" s="116" t="s">
        <v>195</v>
      </c>
      <c r="H11" s="116" t="s">
        <v>196</v>
      </c>
      <c r="I11">
        <v>2018</v>
      </c>
      <c r="J11" s="116" t="s">
        <v>195</v>
      </c>
    </row>
    <row r="12" spans="1:10" x14ac:dyDescent="0.25">
      <c r="B12" s="116" t="s">
        <v>196</v>
      </c>
      <c r="C12">
        <v>1.1000000000000001</v>
      </c>
      <c r="D12" s="116" t="s">
        <v>195</v>
      </c>
      <c r="H12" s="116" t="s">
        <v>196</v>
      </c>
      <c r="I12">
        <v>2019</v>
      </c>
      <c r="J12" s="116" t="s">
        <v>195</v>
      </c>
    </row>
    <row r="13" spans="1:10" x14ac:dyDescent="0.25">
      <c r="B13" s="116" t="s">
        <v>196</v>
      </c>
      <c r="C13">
        <v>2</v>
      </c>
      <c r="D13" s="116" t="s">
        <v>195</v>
      </c>
      <c r="H13" s="116" t="s">
        <v>196</v>
      </c>
      <c r="I13">
        <v>1.5</v>
      </c>
      <c r="J13" s="116" t="s">
        <v>195</v>
      </c>
    </row>
    <row r="14" spans="1:10" x14ac:dyDescent="0.25">
      <c r="B14" s="116" t="s">
        <v>196</v>
      </c>
      <c r="C14" t="s">
        <v>194</v>
      </c>
      <c r="D14" s="116" t="s">
        <v>195</v>
      </c>
      <c r="H14" s="116" t="s">
        <v>196</v>
      </c>
      <c r="I14">
        <v>1.1000000000000001</v>
      </c>
      <c r="J14" s="116" t="s">
        <v>195</v>
      </c>
    </row>
    <row r="15" spans="1:10" x14ac:dyDescent="0.25">
      <c r="B15" s="116" t="s">
        <v>196</v>
      </c>
      <c r="C15">
        <v>2.9</v>
      </c>
      <c r="D15" s="116" t="s">
        <v>195</v>
      </c>
      <c r="H15" s="116" t="s">
        <v>196</v>
      </c>
      <c r="I15">
        <v>2</v>
      </c>
      <c r="J15" s="116" t="s">
        <v>195</v>
      </c>
    </row>
    <row r="16" spans="1:10" x14ac:dyDescent="0.25">
      <c r="B16" s="116" t="s">
        <v>196</v>
      </c>
      <c r="C16">
        <v>3</v>
      </c>
      <c r="D16" s="116" t="s">
        <v>195</v>
      </c>
      <c r="H16" s="116" t="s">
        <v>196</v>
      </c>
      <c r="I16" t="s">
        <v>194</v>
      </c>
      <c r="J16" s="116" t="s">
        <v>195</v>
      </c>
    </row>
    <row r="17" spans="1:13" x14ac:dyDescent="0.25">
      <c r="H17" s="116" t="s">
        <v>196</v>
      </c>
      <c r="I17">
        <v>2.9</v>
      </c>
      <c r="J17" s="116" t="s">
        <v>195</v>
      </c>
    </row>
    <row r="18" spans="1:13" x14ac:dyDescent="0.25">
      <c r="H18" s="116" t="s">
        <v>196</v>
      </c>
      <c r="I18">
        <v>3</v>
      </c>
      <c r="J18" s="116" t="s">
        <v>195</v>
      </c>
    </row>
    <row r="20" spans="1:13" x14ac:dyDescent="0.25">
      <c r="A20" s="156" t="s">
        <v>198</v>
      </c>
      <c r="B20" s="156" t="s">
        <v>199</v>
      </c>
      <c r="C20" s="157" t="s">
        <v>200</v>
      </c>
      <c r="D20" s="157" t="s">
        <v>201</v>
      </c>
      <c r="E20" s="157" t="s">
        <v>202</v>
      </c>
      <c r="F20" s="157" t="s">
        <v>203</v>
      </c>
      <c r="G20" s="157" t="s">
        <v>204</v>
      </c>
      <c r="H20" s="157" t="s">
        <v>205</v>
      </c>
      <c r="I20" s="157" t="s">
        <v>206</v>
      </c>
      <c r="J20" s="157" t="s">
        <v>207</v>
      </c>
      <c r="K20" s="158" t="s">
        <v>208</v>
      </c>
      <c r="L20" s="158" t="s">
        <v>209</v>
      </c>
      <c r="M20" s="157" t="s">
        <v>210</v>
      </c>
    </row>
  </sheetData>
  <mergeCells count="2">
    <mergeCell ref="A1:A3"/>
    <mergeCell ref="A4:A5"/>
  </mergeCells>
  <hyperlinks>
    <hyperlink ref="B6" r:id="rId1" xr:uid="{E8DA7C38-4F05-4A21-AF31-15BE5B6C19B3}"/>
    <hyperlink ref="B1" r:id="rId2" xr:uid="{5E1C049C-3623-42AE-A738-1894A9BD9907}"/>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CCBBC-FCD8-4967-9D6A-2A72AAEBF536}">
  <dimension ref="I1:K7"/>
  <sheetViews>
    <sheetView workbookViewId="0">
      <selection activeCell="L12" sqref="L12"/>
    </sheetView>
  </sheetViews>
  <sheetFormatPr defaultRowHeight="15" x14ac:dyDescent="0.25"/>
  <cols>
    <col min="7" max="7" width="11.7109375" customWidth="1"/>
  </cols>
  <sheetData>
    <row r="1" spans="9:11" x14ac:dyDescent="0.25">
      <c r="I1" s="30"/>
    </row>
    <row r="2" spans="9:11" x14ac:dyDescent="0.25">
      <c r="I2" s="30">
        <v>40</v>
      </c>
      <c r="K2">
        <v>37542</v>
      </c>
    </row>
    <row r="3" spans="9:11" x14ac:dyDescent="0.25">
      <c r="I3" s="30">
        <v>41</v>
      </c>
      <c r="K3">
        <v>11322</v>
      </c>
    </row>
    <row r="4" spans="9:11" x14ac:dyDescent="0.25">
      <c r="I4" s="30">
        <v>45</v>
      </c>
      <c r="K4">
        <v>33693</v>
      </c>
    </row>
    <row r="5" spans="9:11" x14ac:dyDescent="0.25">
      <c r="I5" s="30">
        <v>46</v>
      </c>
      <c r="K5">
        <v>38800</v>
      </c>
    </row>
    <row r="6" spans="9:11" x14ac:dyDescent="0.25">
      <c r="K6">
        <v>38800</v>
      </c>
    </row>
    <row r="7" spans="9:11" x14ac:dyDescent="0.25">
      <c r="K7">
        <f>SUM(K2:K6)</f>
        <v>160157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BA99A-4B1F-4EFF-A613-CFA8A3626A48}">
  <dimension ref="K7:O11"/>
  <sheetViews>
    <sheetView workbookViewId="0">
      <selection activeCell="F12" sqref="F12"/>
    </sheetView>
  </sheetViews>
  <sheetFormatPr defaultRowHeight="15" x14ac:dyDescent="0.25"/>
  <sheetData>
    <row r="7" spans="11:15" x14ac:dyDescent="0.25">
      <c r="K7">
        <f>365-21</f>
        <v>344</v>
      </c>
    </row>
    <row r="10" spans="11:15" x14ac:dyDescent="0.25">
      <c r="K10">
        <f>344/3.65</f>
        <v>94.246575342465761</v>
      </c>
      <c r="L10">
        <v>344</v>
      </c>
      <c r="M10">
        <f>N10/365</f>
        <v>121.57808219178082</v>
      </c>
      <c r="N10">
        <f>344*129</f>
        <v>44376</v>
      </c>
      <c r="O10">
        <f>9+28+30+30+27</f>
        <v>124</v>
      </c>
    </row>
    <row r="11" spans="11:15" x14ac:dyDescent="0.25">
      <c r="L11">
        <v>365</v>
      </c>
      <c r="M11">
        <f>9+28+31+30+31</f>
        <v>129</v>
      </c>
      <c r="N11">
        <f>O10/1.29</f>
        <v>96.124031007751938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F966-F8E2-44F2-A907-1478C7B5957C}">
  <sheetPr filterMode="1"/>
  <dimension ref="A1:G41"/>
  <sheetViews>
    <sheetView workbookViewId="0">
      <selection activeCell="D12" sqref="D12"/>
    </sheetView>
  </sheetViews>
  <sheetFormatPr defaultRowHeight="15" x14ac:dyDescent="0.25"/>
  <cols>
    <col min="2" max="2" width="29.5703125" customWidth="1"/>
    <col min="3" max="3" width="59.7109375" customWidth="1"/>
    <col min="4" max="4" width="26.28515625" style="1" customWidth="1"/>
    <col min="5" max="5" width="32.5703125" customWidth="1"/>
    <col min="6" max="6" width="55.7109375" bestFit="1" customWidth="1"/>
    <col min="7" max="7" width="59.28515625" bestFit="1" customWidth="1"/>
  </cols>
  <sheetData>
    <row r="1" spans="1:7" ht="15.75" thickBot="1" x14ac:dyDescent="0.3">
      <c r="A1" s="13" t="s">
        <v>47</v>
      </c>
      <c r="B1" s="14" t="s">
        <v>48</v>
      </c>
      <c r="C1" s="14" t="s">
        <v>49</v>
      </c>
      <c r="D1" s="18" t="s">
        <v>119</v>
      </c>
      <c r="E1" s="18" t="s">
        <v>120</v>
      </c>
      <c r="F1" s="18" t="s">
        <v>95</v>
      </c>
    </row>
    <row r="2" spans="1:7" ht="15.75" hidden="1" thickBot="1" x14ac:dyDescent="0.3">
      <c r="A2" s="15">
        <v>1</v>
      </c>
      <c r="B2" s="16" t="s">
        <v>50</v>
      </c>
      <c r="C2" s="25" t="s">
        <v>51</v>
      </c>
      <c r="D2" s="77">
        <v>45848</v>
      </c>
      <c r="E2" s="35"/>
      <c r="F2" s="21" t="s">
        <v>96</v>
      </c>
      <c r="G2" t="s">
        <v>97</v>
      </c>
    </row>
    <row r="3" spans="1:7" ht="32.25" customHeight="1" thickBot="1" x14ac:dyDescent="0.3">
      <c r="A3" s="15">
        <v>2</v>
      </c>
      <c r="B3" s="57" t="s">
        <v>128</v>
      </c>
      <c r="C3" s="26" t="s">
        <v>53</v>
      </c>
      <c r="D3" s="78">
        <v>45850</v>
      </c>
      <c r="E3" s="32" t="s">
        <v>121</v>
      </c>
      <c r="F3" s="19" t="s">
        <v>98</v>
      </c>
      <c r="G3" t="s">
        <v>99</v>
      </c>
    </row>
    <row r="4" spans="1:7" ht="15.75" thickBot="1" x14ac:dyDescent="0.3">
      <c r="A4" s="15">
        <v>3</v>
      </c>
      <c r="B4" s="16" t="s">
        <v>54</v>
      </c>
      <c r="C4" s="27" t="s">
        <v>55</v>
      </c>
      <c r="D4" s="41"/>
      <c r="E4" s="33"/>
    </row>
    <row r="5" spans="1:7" x14ac:dyDescent="0.25">
      <c r="A5" s="132">
        <v>4</v>
      </c>
      <c r="B5" s="135" t="s">
        <v>126</v>
      </c>
      <c r="C5" s="23" t="s">
        <v>57</v>
      </c>
      <c r="D5" s="126">
        <v>45850</v>
      </c>
      <c r="E5" s="129" t="s">
        <v>129</v>
      </c>
      <c r="F5" s="118" t="s">
        <v>100</v>
      </c>
      <c r="G5" s="120" t="s">
        <v>101</v>
      </c>
    </row>
    <row r="6" spans="1:7" ht="25.5" customHeight="1" x14ac:dyDescent="0.25">
      <c r="A6" s="133"/>
      <c r="B6" s="133"/>
      <c r="C6" s="23" t="s">
        <v>58</v>
      </c>
      <c r="D6" s="127"/>
      <c r="E6" s="130"/>
      <c r="F6" s="119"/>
      <c r="G6" s="120"/>
    </row>
    <row r="7" spans="1:7" ht="34.5" customHeight="1" thickBot="1" x14ac:dyDescent="0.3">
      <c r="A7" s="134"/>
      <c r="B7" s="134"/>
      <c r="C7" s="28" t="s">
        <v>59</v>
      </c>
      <c r="D7" s="128"/>
      <c r="E7" s="131"/>
      <c r="F7" s="119"/>
      <c r="G7" s="120"/>
    </row>
    <row r="8" spans="1:7" ht="15.75" thickBot="1" x14ac:dyDescent="0.3">
      <c r="A8" s="15">
        <v>5</v>
      </c>
      <c r="B8" s="16" t="s">
        <v>60</v>
      </c>
      <c r="C8" s="25" t="s">
        <v>61</v>
      </c>
      <c r="D8" s="42">
        <v>45852</v>
      </c>
      <c r="E8" s="31"/>
      <c r="F8" t="s">
        <v>102</v>
      </c>
      <c r="G8" t="s">
        <v>103</v>
      </c>
    </row>
    <row r="9" spans="1:7" ht="15.75" thickBot="1" x14ac:dyDescent="0.3">
      <c r="A9" s="15">
        <v>6</v>
      </c>
      <c r="B9" s="16" t="s">
        <v>62</v>
      </c>
      <c r="C9" s="25" t="s">
        <v>63</v>
      </c>
      <c r="D9" s="42">
        <v>45853</v>
      </c>
      <c r="E9" s="31"/>
      <c r="F9" t="s">
        <v>104</v>
      </c>
      <c r="G9" t="s">
        <v>105</v>
      </c>
    </row>
    <row r="10" spans="1:7" ht="30.75" thickBot="1" x14ac:dyDescent="0.3">
      <c r="A10" s="15">
        <v>7</v>
      </c>
      <c r="B10" s="57" t="s">
        <v>127</v>
      </c>
      <c r="C10" s="25" t="s">
        <v>63</v>
      </c>
      <c r="D10" s="79">
        <v>45850</v>
      </c>
      <c r="F10" s="80" t="s">
        <v>106</v>
      </c>
      <c r="G10" t="s">
        <v>107</v>
      </c>
    </row>
    <row r="11" spans="1:7" ht="15.75" hidden="1" thickBot="1" x14ac:dyDescent="0.3">
      <c r="A11" s="15">
        <v>8</v>
      </c>
      <c r="B11" s="16" t="s">
        <v>65</v>
      </c>
      <c r="C11" s="29" t="s">
        <v>66</v>
      </c>
      <c r="D11" s="77">
        <v>45848</v>
      </c>
      <c r="E11" s="35"/>
      <c r="F11" s="21" t="s">
        <v>111</v>
      </c>
    </row>
    <row r="12" spans="1:7" ht="15.75" thickBot="1" x14ac:dyDescent="0.3">
      <c r="A12" s="15">
        <v>9</v>
      </c>
      <c r="B12" s="16" t="s">
        <v>67</v>
      </c>
      <c r="C12" s="25" t="s">
        <v>68</v>
      </c>
      <c r="D12" s="43"/>
      <c r="E12" s="36" t="s">
        <v>122</v>
      </c>
      <c r="F12" s="20" t="s">
        <v>108</v>
      </c>
    </row>
    <row r="13" spans="1:7" x14ac:dyDescent="0.25">
      <c r="A13" s="132">
        <v>10</v>
      </c>
      <c r="B13" s="132" t="s">
        <v>69</v>
      </c>
      <c r="C13" s="23" t="s">
        <v>70</v>
      </c>
      <c r="D13" s="129"/>
      <c r="E13" s="129" t="s">
        <v>123</v>
      </c>
    </row>
    <row r="14" spans="1:7" x14ac:dyDescent="0.25">
      <c r="A14" s="133"/>
      <c r="B14" s="133"/>
      <c r="C14" s="23" t="s">
        <v>71</v>
      </c>
      <c r="D14" s="130"/>
      <c r="E14" s="130"/>
      <c r="F14" s="121" t="s">
        <v>109</v>
      </c>
    </row>
    <row r="15" spans="1:7" ht="15.75" thickBot="1" x14ac:dyDescent="0.3">
      <c r="A15" s="134"/>
      <c r="B15" s="134"/>
      <c r="C15" s="26" t="s">
        <v>72</v>
      </c>
      <c r="D15" s="131"/>
      <c r="E15" s="131"/>
      <c r="F15" s="121"/>
    </row>
    <row r="16" spans="1:7" ht="15.75" thickBot="1" x14ac:dyDescent="0.3">
      <c r="A16" s="15">
        <v>11</v>
      </c>
      <c r="B16" s="16" t="s">
        <v>73</v>
      </c>
      <c r="C16" s="26" t="s">
        <v>74</v>
      </c>
      <c r="D16" s="37"/>
      <c r="E16" s="32"/>
    </row>
    <row r="17" spans="1:7" ht="15.75" hidden="1" thickBot="1" x14ac:dyDescent="0.3">
      <c r="A17" s="15">
        <v>12</v>
      </c>
      <c r="B17" s="16" t="s">
        <v>75</v>
      </c>
      <c r="C17" s="29" t="s">
        <v>76</v>
      </c>
      <c r="D17" s="77">
        <v>45848</v>
      </c>
      <c r="E17" s="35"/>
      <c r="F17" s="21" t="s">
        <v>110</v>
      </c>
    </row>
    <row r="18" spans="1:7" ht="15.75" thickBot="1" x14ac:dyDescent="0.3">
      <c r="A18" s="15">
        <v>13</v>
      </c>
      <c r="B18" s="16" t="s">
        <v>77</v>
      </c>
      <c r="C18" s="25" t="s">
        <v>78</v>
      </c>
      <c r="D18" s="77">
        <v>45852</v>
      </c>
      <c r="E18" s="31" t="s">
        <v>124</v>
      </c>
      <c r="F18" t="s">
        <v>112</v>
      </c>
    </row>
    <row r="19" spans="1:7" ht="15.75" thickBot="1" x14ac:dyDescent="0.3">
      <c r="A19" s="15">
        <v>14</v>
      </c>
      <c r="B19" s="16" t="s">
        <v>79</v>
      </c>
      <c r="C19" s="27" t="s">
        <v>78</v>
      </c>
      <c r="D19" s="77">
        <v>45852</v>
      </c>
      <c r="E19" s="33"/>
    </row>
    <row r="20" spans="1:7" ht="15.75" hidden="1" thickBot="1" x14ac:dyDescent="0.3">
      <c r="A20" s="15">
        <v>15</v>
      </c>
      <c r="B20" s="16" t="s">
        <v>80</v>
      </c>
      <c r="C20" s="25" t="s">
        <v>51</v>
      </c>
      <c r="D20" s="77">
        <v>45848</v>
      </c>
      <c r="E20" s="35"/>
      <c r="F20" s="21" t="s">
        <v>114</v>
      </c>
      <c r="G20" t="s">
        <v>113</v>
      </c>
    </row>
    <row r="21" spans="1:7" ht="15.75" thickBot="1" x14ac:dyDescent="0.3">
      <c r="A21" s="15">
        <v>16</v>
      </c>
      <c r="B21" s="16" t="s">
        <v>81</v>
      </c>
      <c r="C21" s="25" t="s">
        <v>82</v>
      </c>
      <c r="D21" s="42">
        <v>45850</v>
      </c>
      <c r="E21" s="31"/>
      <c r="F21" t="s">
        <v>115</v>
      </c>
      <c r="G21" t="s">
        <v>130</v>
      </c>
    </row>
    <row r="22" spans="1:7" ht="15.75" hidden="1" thickBot="1" x14ac:dyDescent="0.3">
      <c r="A22" s="15">
        <v>17</v>
      </c>
      <c r="B22" s="16" t="s">
        <v>83</v>
      </c>
      <c r="C22" s="25" t="s">
        <v>82</v>
      </c>
      <c r="D22" s="77">
        <v>45848</v>
      </c>
      <c r="E22" s="35"/>
      <c r="F22" s="21" t="s">
        <v>0</v>
      </c>
    </row>
    <row r="23" spans="1:7" ht="30.75" thickBot="1" x14ac:dyDescent="0.3">
      <c r="A23" s="15">
        <v>18</v>
      </c>
      <c r="B23" s="16" t="s">
        <v>84</v>
      </c>
      <c r="C23" s="26" t="s">
        <v>85</v>
      </c>
      <c r="D23" s="37"/>
      <c r="E23" s="32"/>
      <c r="F23" s="22" t="s">
        <v>118</v>
      </c>
    </row>
    <row r="24" spans="1:7" ht="15.75" hidden="1" thickBot="1" x14ac:dyDescent="0.3">
      <c r="A24" s="15">
        <v>19</v>
      </c>
      <c r="B24" s="16" t="s">
        <v>86</v>
      </c>
      <c r="C24" s="25" t="s">
        <v>87</v>
      </c>
      <c r="D24" s="77">
        <v>45848</v>
      </c>
      <c r="E24" s="31"/>
    </row>
    <row r="25" spans="1:7" ht="15.75" hidden="1" thickBot="1" x14ac:dyDescent="0.3">
      <c r="A25" s="15">
        <v>20</v>
      </c>
      <c r="B25" s="16" t="s">
        <v>88</v>
      </c>
      <c r="C25" s="25" t="s">
        <v>89</v>
      </c>
      <c r="D25" s="77">
        <v>45848</v>
      </c>
      <c r="E25" s="35"/>
      <c r="F25" s="122" t="s">
        <v>116</v>
      </c>
    </row>
    <row r="26" spans="1:7" ht="15.75" hidden="1" thickBot="1" x14ac:dyDescent="0.3">
      <c r="A26" s="15">
        <v>21</v>
      </c>
      <c r="B26" s="16" t="s">
        <v>90</v>
      </c>
      <c r="C26" s="25" t="s">
        <v>89</v>
      </c>
      <c r="D26" s="77">
        <v>45848</v>
      </c>
      <c r="E26" s="35"/>
      <c r="F26" s="122"/>
    </row>
    <row r="27" spans="1:7" x14ac:dyDescent="0.25">
      <c r="A27" s="132">
        <v>22</v>
      </c>
      <c r="B27" s="132" t="s">
        <v>91</v>
      </c>
      <c r="C27" s="23" t="s">
        <v>92</v>
      </c>
      <c r="D27" s="37"/>
      <c r="E27" s="32"/>
      <c r="F27" t="s">
        <v>117</v>
      </c>
    </row>
    <row r="28" spans="1:7" x14ac:dyDescent="0.25">
      <c r="A28" s="133"/>
      <c r="B28" s="133"/>
      <c r="C28" s="23" t="s">
        <v>93</v>
      </c>
      <c r="D28" s="39"/>
      <c r="E28" s="35"/>
      <c r="F28" s="123" t="s">
        <v>0</v>
      </c>
    </row>
    <row r="29" spans="1:7" ht="15.75" thickBot="1" x14ac:dyDescent="0.3">
      <c r="A29" s="134"/>
      <c r="B29" s="134"/>
      <c r="C29" s="26" t="s">
        <v>94</v>
      </c>
      <c r="D29" s="39"/>
      <c r="E29" s="35"/>
      <c r="F29" s="123"/>
    </row>
    <row r="34" spans="1:5" x14ac:dyDescent="0.25">
      <c r="A34" s="125">
        <v>1</v>
      </c>
      <c r="B34" s="125" t="s">
        <v>91</v>
      </c>
      <c r="C34" s="23" t="s">
        <v>92</v>
      </c>
    </row>
    <row r="35" spans="1:5" x14ac:dyDescent="0.25">
      <c r="A35" s="125"/>
      <c r="B35" s="125"/>
      <c r="C35" s="23" t="s">
        <v>93</v>
      </c>
    </row>
    <row r="36" spans="1:5" x14ac:dyDescent="0.25">
      <c r="A36" s="125"/>
      <c r="B36" s="125"/>
      <c r="C36" s="23" t="s">
        <v>94</v>
      </c>
    </row>
    <row r="37" spans="1:5" ht="30" x14ac:dyDescent="0.25">
      <c r="A37" s="38">
        <v>2</v>
      </c>
      <c r="B37" s="38" t="s">
        <v>84</v>
      </c>
      <c r="C37" s="23" t="s">
        <v>85</v>
      </c>
    </row>
    <row r="38" spans="1:5" x14ac:dyDescent="0.25">
      <c r="A38" s="122">
        <v>3</v>
      </c>
      <c r="B38" s="125" t="s">
        <v>69</v>
      </c>
      <c r="C38" s="23" t="s">
        <v>70</v>
      </c>
      <c r="D38" s="124"/>
      <c r="E38" s="124" t="s">
        <v>123</v>
      </c>
    </row>
    <row r="39" spans="1:5" x14ac:dyDescent="0.25">
      <c r="A39" s="122"/>
      <c r="B39" s="125"/>
      <c r="C39" s="23" t="s">
        <v>71</v>
      </c>
      <c r="D39" s="124"/>
      <c r="E39" s="124"/>
    </row>
    <row r="40" spans="1:5" x14ac:dyDescent="0.25">
      <c r="A40" s="122"/>
      <c r="B40" s="125"/>
      <c r="C40" s="23" t="s">
        <v>72</v>
      </c>
      <c r="D40" s="124"/>
      <c r="E40" s="124"/>
    </row>
    <row r="41" spans="1:5" x14ac:dyDescent="0.25">
      <c r="A41" s="30">
        <v>4</v>
      </c>
      <c r="B41" s="38" t="s">
        <v>54</v>
      </c>
      <c r="C41" s="24" t="s">
        <v>55</v>
      </c>
    </row>
  </sheetData>
  <autoFilter ref="A1:G29" xr:uid="{C257F966-F8E2-44F2-A907-1478C7B5957C}">
    <filterColumn colId="3">
      <filters blank="1">
        <dateGroupItem year="2025" month="7" day="12" dateTimeGrouping="day"/>
        <dateGroupItem year="2025" month="7" day="14" dateTimeGrouping="day"/>
        <dateGroupItem year="2025" month="7" day="15" dateTimeGrouping="day"/>
      </filters>
    </filterColumn>
  </autoFilter>
  <sortState xmlns:xlrd2="http://schemas.microsoft.com/office/spreadsheetml/2017/richdata2" ref="A1:G1">
    <sortCondition ref="A1"/>
  </sortState>
  <mergeCells count="21">
    <mergeCell ref="A38:A40"/>
    <mergeCell ref="D38:D40"/>
    <mergeCell ref="B38:B40"/>
    <mergeCell ref="E38:E40"/>
    <mergeCell ref="D5:D7"/>
    <mergeCell ref="E5:E7"/>
    <mergeCell ref="E13:E15"/>
    <mergeCell ref="D13:D15"/>
    <mergeCell ref="A34:A36"/>
    <mergeCell ref="B34:B36"/>
    <mergeCell ref="A5:A7"/>
    <mergeCell ref="B5:B7"/>
    <mergeCell ref="A13:A15"/>
    <mergeCell ref="B13:B15"/>
    <mergeCell ref="A27:A29"/>
    <mergeCell ref="B27:B29"/>
    <mergeCell ref="F5:F7"/>
    <mergeCell ref="G5:G7"/>
    <mergeCell ref="F14:F15"/>
    <mergeCell ref="F25:F26"/>
    <mergeCell ref="F28:F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0F7EC-DF2C-4AF2-93A6-AD45715E85F6}">
  <dimension ref="A1:F105"/>
  <sheetViews>
    <sheetView topLeftCell="D94" zoomScale="85" zoomScaleNormal="85" workbookViewId="0">
      <selection activeCell="F93" sqref="F93"/>
    </sheetView>
  </sheetViews>
  <sheetFormatPr defaultRowHeight="16.5" customHeight="1" x14ac:dyDescent="0.25"/>
  <cols>
    <col min="1" max="1" width="6.5703125" style="3" bestFit="1" customWidth="1"/>
    <col min="2" max="2" width="39.140625" style="50" bestFit="1" customWidth="1"/>
    <col min="3" max="3" width="97.42578125" style="3" customWidth="1"/>
    <col min="4" max="4" width="20.5703125" style="2" customWidth="1"/>
    <col min="5" max="5" width="140" style="3" bestFit="1" customWidth="1"/>
    <col min="6" max="6" width="58.7109375" style="3" customWidth="1"/>
    <col min="7" max="16384" width="9.140625" style="3"/>
  </cols>
  <sheetData>
    <row r="1" spans="1:5" ht="16.5" customHeight="1" x14ac:dyDescent="0.25">
      <c r="A1" s="44" t="s">
        <v>125</v>
      </c>
      <c r="B1" s="46" t="s">
        <v>48</v>
      </c>
      <c r="C1" s="44" t="s">
        <v>49</v>
      </c>
      <c r="D1" s="44" t="s">
        <v>119</v>
      </c>
      <c r="E1" s="44" t="s">
        <v>120</v>
      </c>
    </row>
    <row r="2" spans="1:5" ht="16.5" customHeight="1" x14ac:dyDescent="0.25">
      <c r="A2" s="52">
        <v>1</v>
      </c>
      <c r="B2" s="53" t="s">
        <v>50</v>
      </c>
      <c r="C2" s="54" t="s">
        <v>51</v>
      </c>
      <c r="D2" s="55">
        <v>45848</v>
      </c>
      <c r="E2" s="35"/>
    </row>
    <row r="3" spans="1:5" ht="16.5" customHeight="1" x14ac:dyDescent="0.25">
      <c r="A3" s="43">
        <v>2</v>
      </c>
      <c r="B3" s="45" t="s">
        <v>52</v>
      </c>
      <c r="C3" s="32" t="s">
        <v>53</v>
      </c>
      <c r="D3" s="40">
        <v>45855</v>
      </c>
      <c r="E3" s="32"/>
    </row>
    <row r="4" spans="1:5" ht="16.5" customHeight="1" x14ac:dyDescent="0.25">
      <c r="A4" s="146">
        <v>3</v>
      </c>
      <c r="B4" s="147" t="s">
        <v>56</v>
      </c>
      <c r="C4" s="32" t="s">
        <v>57</v>
      </c>
      <c r="D4" s="148">
        <v>45850</v>
      </c>
      <c r="E4" s="149"/>
    </row>
    <row r="5" spans="1:5" ht="16.5" customHeight="1" x14ac:dyDescent="0.25">
      <c r="A5" s="146"/>
      <c r="B5" s="147"/>
      <c r="C5" s="32" t="s">
        <v>58</v>
      </c>
      <c r="D5" s="149"/>
      <c r="E5" s="149"/>
    </row>
    <row r="6" spans="1:5" ht="16.5" customHeight="1" x14ac:dyDescent="0.25">
      <c r="A6" s="146"/>
      <c r="B6" s="147"/>
      <c r="C6" s="34" t="s">
        <v>59</v>
      </c>
      <c r="D6" s="149"/>
      <c r="E6" s="149"/>
    </row>
    <row r="7" spans="1:5" ht="16.5" customHeight="1" x14ac:dyDescent="0.25">
      <c r="A7" s="43">
        <v>4</v>
      </c>
      <c r="B7" s="45" t="s">
        <v>60</v>
      </c>
      <c r="C7" s="31" t="s">
        <v>61</v>
      </c>
      <c r="D7" s="42">
        <v>45852</v>
      </c>
      <c r="E7" s="31"/>
    </row>
    <row r="8" spans="1:5" ht="16.5" customHeight="1" x14ac:dyDescent="0.25">
      <c r="A8" s="43">
        <v>5</v>
      </c>
      <c r="B8" s="45" t="s">
        <v>62</v>
      </c>
      <c r="C8" s="31" t="s">
        <v>63</v>
      </c>
      <c r="D8" s="42">
        <v>45850</v>
      </c>
      <c r="E8" s="31"/>
    </row>
    <row r="9" spans="1:5" ht="16.5" customHeight="1" x14ac:dyDescent="0.25">
      <c r="A9" s="43">
        <v>6</v>
      </c>
      <c r="B9" s="45" t="s">
        <v>64</v>
      </c>
      <c r="C9" s="31" t="s">
        <v>63</v>
      </c>
      <c r="D9" s="42">
        <v>45850</v>
      </c>
    </row>
    <row r="10" spans="1:5" ht="16.5" customHeight="1" x14ac:dyDescent="0.25">
      <c r="A10" s="52">
        <v>7</v>
      </c>
      <c r="B10" s="53" t="s">
        <v>65</v>
      </c>
      <c r="C10" s="56" t="s">
        <v>66</v>
      </c>
      <c r="D10" s="55">
        <v>45848</v>
      </c>
      <c r="E10" s="35"/>
    </row>
    <row r="11" spans="1:5" ht="16.5" customHeight="1" x14ac:dyDescent="0.25">
      <c r="A11" s="43">
        <v>8</v>
      </c>
      <c r="B11" s="45" t="s">
        <v>67</v>
      </c>
      <c r="C11" s="31" t="s">
        <v>68</v>
      </c>
      <c r="D11" s="48"/>
      <c r="E11" s="36" t="s">
        <v>122</v>
      </c>
    </row>
    <row r="12" spans="1:5" ht="16.5" customHeight="1" x14ac:dyDescent="0.25">
      <c r="A12" s="52">
        <v>9</v>
      </c>
      <c r="B12" s="53" t="s">
        <v>75</v>
      </c>
      <c r="C12" s="56" t="s">
        <v>76</v>
      </c>
      <c r="D12" s="55">
        <v>45848</v>
      </c>
      <c r="E12" s="35"/>
    </row>
    <row r="13" spans="1:5" ht="16.5" customHeight="1" x14ac:dyDescent="0.25">
      <c r="A13" s="43">
        <v>10</v>
      </c>
      <c r="B13" s="45" t="s">
        <v>77</v>
      </c>
      <c r="C13" s="31" t="s">
        <v>78</v>
      </c>
      <c r="D13" s="47">
        <v>45853</v>
      </c>
      <c r="E13" s="31"/>
    </row>
    <row r="14" spans="1:5" ht="16.5" customHeight="1" x14ac:dyDescent="0.25">
      <c r="A14" s="52">
        <v>11</v>
      </c>
      <c r="B14" s="53" t="s">
        <v>79</v>
      </c>
      <c r="C14" s="54" t="s">
        <v>78</v>
      </c>
      <c r="D14" s="55">
        <v>45848</v>
      </c>
      <c r="E14" s="51"/>
    </row>
    <row r="15" spans="1:5" ht="16.5" customHeight="1" x14ac:dyDescent="0.25">
      <c r="A15" s="52">
        <v>12</v>
      </c>
      <c r="B15" s="53" t="s">
        <v>80</v>
      </c>
      <c r="C15" s="54" t="s">
        <v>51</v>
      </c>
      <c r="D15" s="55">
        <v>45848</v>
      </c>
      <c r="E15" s="35"/>
    </row>
    <row r="16" spans="1:5" ht="16.5" customHeight="1" x14ac:dyDescent="0.25">
      <c r="A16" s="43">
        <v>13</v>
      </c>
      <c r="B16" s="45" t="s">
        <v>81</v>
      </c>
      <c r="C16" s="31" t="s">
        <v>82</v>
      </c>
      <c r="D16" s="47">
        <v>45850</v>
      </c>
      <c r="E16" s="31"/>
    </row>
    <row r="17" spans="1:5" ht="16.5" customHeight="1" x14ac:dyDescent="0.25">
      <c r="A17" s="52">
        <v>14</v>
      </c>
      <c r="B17" s="53" t="s">
        <v>83</v>
      </c>
      <c r="C17" s="54" t="s">
        <v>82</v>
      </c>
      <c r="D17" s="55">
        <v>45848</v>
      </c>
      <c r="E17" s="35"/>
    </row>
    <row r="18" spans="1:5" ht="16.5" customHeight="1" x14ac:dyDescent="0.25">
      <c r="A18" s="52">
        <v>15</v>
      </c>
      <c r="B18" s="53" t="s">
        <v>86</v>
      </c>
      <c r="C18" s="54" t="s">
        <v>87</v>
      </c>
      <c r="D18" s="55">
        <v>45848</v>
      </c>
      <c r="E18" s="31"/>
    </row>
    <row r="19" spans="1:5" ht="16.5" customHeight="1" x14ac:dyDescent="0.25">
      <c r="A19" s="52">
        <v>16</v>
      </c>
      <c r="B19" s="53" t="s">
        <v>88</v>
      </c>
      <c r="C19" s="54" t="s">
        <v>89</v>
      </c>
      <c r="D19" s="55">
        <v>45848</v>
      </c>
      <c r="E19" s="35"/>
    </row>
    <row r="20" spans="1:5" ht="16.5" customHeight="1" x14ac:dyDescent="0.25">
      <c r="A20" s="52">
        <v>17</v>
      </c>
      <c r="B20" s="53" t="s">
        <v>90</v>
      </c>
      <c r="C20" s="54" t="s">
        <v>89</v>
      </c>
      <c r="D20" s="55">
        <v>45848</v>
      </c>
      <c r="E20" s="35"/>
    </row>
    <row r="24" spans="1:5" ht="16.5" customHeight="1" x14ac:dyDescent="0.25">
      <c r="A24" s="44" t="s">
        <v>125</v>
      </c>
      <c r="B24" s="46" t="s">
        <v>48</v>
      </c>
      <c r="C24" s="44" t="s">
        <v>49</v>
      </c>
    </row>
    <row r="25" spans="1:5" ht="16.5" customHeight="1" x14ac:dyDescent="0.25">
      <c r="A25" s="146">
        <v>1</v>
      </c>
      <c r="B25" s="147" t="s">
        <v>91</v>
      </c>
      <c r="C25" s="32" t="s">
        <v>92</v>
      </c>
    </row>
    <row r="26" spans="1:5" ht="16.5" customHeight="1" x14ac:dyDescent="0.25">
      <c r="A26" s="146"/>
      <c r="B26" s="147"/>
      <c r="C26" s="32" t="s">
        <v>93</v>
      </c>
    </row>
    <row r="27" spans="1:5" ht="16.5" customHeight="1" x14ac:dyDescent="0.25">
      <c r="A27" s="146"/>
      <c r="B27" s="147"/>
      <c r="C27" s="32" t="s">
        <v>94</v>
      </c>
    </row>
    <row r="28" spans="1:5" ht="16.5" customHeight="1" x14ac:dyDescent="0.25">
      <c r="A28" s="43">
        <v>2</v>
      </c>
      <c r="B28" s="45" t="s">
        <v>84</v>
      </c>
      <c r="C28" s="32" t="s">
        <v>85</v>
      </c>
    </row>
    <row r="29" spans="1:5" ht="16.5" customHeight="1" x14ac:dyDescent="0.25">
      <c r="A29" s="117">
        <v>3</v>
      </c>
      <c r="B29" s="147" t="s">
        <v>69</v>
      </c>
      <c r="C29" s="32" t="s">
        <v>70</v>
      </c>
      <c r="D29" s="149"/>
      <c r="E29" s="149" t="s">
        <v>123</v>
      </c>
    </row>
    <row r="30" spans="1:5" ht="16.5" customHeight="1" x14ac:dyDescent="0.25">
      <c r="A30" s="117"/>
      <c r="B30" s="147"/>
      <c r="C30" s="32" t="s">
        <v>71</v>
      </c>
      <c r="D30" s="149"/>
      <c r="E30" s="149"/>
    </row>
    <row r="31" spans="1:5" ht="16.5" customHeight="1" x14ac:dyDescent="0.25">
      <c r="A31" s="117"/>
      <c r="B31" s="147"/>
      <c r="C31" s="32" t="s">
        <v>72</v>
      </c>
      <c r="D31" s="149"/>
      <c r="E31" s="149"/>
    </row>
    <row r="32" spans="1:5" ht="16.5" customHeight="1" x14ac:dyDescent="0.25">
      <c r="A32" s="12">
        <v>4</v>
      </c>
      <c r="B32" s="45" t="s">
        <v>54</v>
      </c>
      <c r="C32" s="51" t="s">
        <v>55</v>
      </c>
    </row>
    <row r="33" spans="1:5" ht="16.5" customHeight="1" x14ac:dyDescent="0.25">
      <c r="A33" s="12">
        <v>5</v>
      </c>
      <c r="B33" s="45" t="s">
        <v>73</v>
      </c>
      <c r="C33" s="32" t="s">
        <v>74</v>
      </c>
    </row>
    <row r="35" spans="1:5" ht="16.5" customHeight="1" x14ac:dyDescent="0.25">
      <c r="A35" s="44" t="s">
        <v>125</v>
      </c>
      <c r="B35" s="46" t="s">
        <v>48</v>
      </c>
      <c r="C35" s="44" t="s">
        <v>49</v>
      </c>
      <c r="D35" s="44" t="s">
        <v>119</v>
      </c>
      <c r="E35" s="44" t="s">
        <v>120</v>
      </c>
    </row>
    <row r="36" spans="1:5" ht="16.5" customHeight="1" x14ac:dyDescent="0.25">
      <c r="A36" s="43">
        <v>1</v>
      </c>
      <c r="B36" s="45" t="s">
        <v>50</v>
      </c>
      <c r="C36" s="31" t="s">
        <v>51</v>
      </c>
      <c r="D36" s="47">
        <v>45848</v>
      </c>
      <c r="E36" s="36" t="s">
        <v>136</v>
      </c>
    </row>
    <row r="37" spans="1:5" ht="16.5" customHeight="1" x14ac:dyDescent="0.25">
      <c r="A37" s="43">
        <v>2</v>
      </c>
      <c r="B37" s="45" t="s">
        <v>65</v>
      </c>
      <c r="C37" s="35" t="s">
        <v>66</v>
      </c>
      <c r="D37" s="47">
        <v>45848</v>
      </c>
      <c r="E37" s="36" t="s">
        <v>136</v>
      </c>
    </row>
    <row r="38" spans="1:5" ht="16.5" customHeight="1" x14ac:dyDescent="0.25">
      <c r="A38" s="43">
        <v>3</v>
      </c>
      <c r="B38" s="45" t="s">
        <v>75</v>
      </c>
      <c r="C38" s="35" t="s">
        <v>76</v>
      </c>
      <c r="D38" s="47">
        <v>45848</v>
      </c>
      <c r="E38" s="36" t="s">
        <v>136</v>
      </c>
    </row>
    <row r="39" spans="1:5" ht="16.5" customHeight="1" x14ac:dyDescent="0.25">
      <c r="A39" s="43">
        <v>4</v>
      </c>
      <c r="B39" s="45" t="s">
        <v>79</v>
      </c>
      <c r="C39" s="33" t="s">
        <v>78</v>
      </c>
      <c r="D39" s="49">
        <v>45848</v>
      </c>
      <c r="E39" s="36" t="s">
        <v>136</v>
      </c>
    </row>
    <row r="40" spans="1:5" ht="16.5" customHeight="1" x14ac:dyDescent="0.25">
      <c r="A40" s="43">
        <v>5</v>
      </c>
      <c r="B40" s="45" t="s">
        <v>80</v>
      </c>
      <c r="C40" s="31" t="s">
        <v>51</v>
      </c>
      <c r="D40" s="47">
        <v>45848</v>
      </c>
      <c r="E40" s="36" t="s">
        <v>136</v>
      </c>
    </row>
    <row r="41" spans="1:5" ht="16.5" customHeight="1" x14ac:dyDescent="0.25">
      <c r="A41" s="43">
        <v>6</v>
      </c>
      <c r="B41" s="45" t="s">
        <v>83</v>
      </c>
      <c r="C41" s="31" t="s">
        <v>82</v>
      </c>
      <c r="D41" s="47">
        <v>45848</v>
      </c>
      <c r="E41" s="36" t="s">
        <v>136</v>
      </c>
    </row>
    <row r="42" spans="1:5" ht="16.5" customHeight="1" x14ac:dyDescent="0.25">
      <c r="A42" s="43">
        <v>7</v>
      </c>
      <c r="B42" s="45" t="s">
        <v>86</v>
      </c>
      <c r="C42" s="31" t="s">
        <v>87</v>
      </c>
      <c r="D42" s="47">
        <v>45848</v>
      </c>
      <c r="E42" s="36" t="s">
        <v>136</v>
      </c>
    </row>
    <row r="43" spans="1:5" ht="16.5" customHeight="1" x14ac:dyDescent="0.25">
      <c r="A43" s="43">
        <v>8</v>
      </c>
      <c r="B43" s="45" t="s">
        <v>88</v>
      </c>
      <c r="C43" s="31" t="s">
        <v>89</v>
      </c>
      <c r="D43" s="47">
        <v>45848</v>
      </c>
      <c r="E43" s="36" t="s">
        <v>136</v>
      </c>
    </row>
    <row r="44" spans="1:5" ht="16.5" customHeight="1" x14ac:dyDescent="0.25">
      <c r="A44" s="62">
        <v>9</v>
      </c>
      <c r="B44" s="63" t="s">
        <v>90</v>
      </c>
      <c r="C44" s="64" t="s">
        <v>89</v>
      </c>
      <c r="D44" s="65">
        <v>45848</v>
      </c>
      <c r="E44" s="36" t="s">
        <v>136</v>
      </c>
    </row>
    <row r="45" spans="1:5" ht="54.75" customHeight="1" x14ac:dyDescent="0.25">
      <c r="A45" s="43">
        <v>10</v>
      </c>
      <c r="B45" s="67" t="s">
        <v>56</v>
      </c>
      <c r="C45" s="32" t="s">
        <v>57</v>
      </c>
      <c r="D45" s="68">
        <v>45850</v>
      </c>
      <c r="E45" s="60" t="s">
        <v>131</v>
      </c>
    </row>
    <row r="46" spans="1:5" ht="19.5" customHeight="1" x14ac:dyDescent="0.25">
      <c r="A46" s="12">
        <v>11</v>
      </c>
      <c r="B46" s="58" t="s">
        <v>132</v>
      </c>
      <c r="C46" s="64" t="s">
        <v>63</v>
      </c>
      <c r="D46" s="68">
        <v>45850</v>
      </c>
      <c r="E46" s="61"/>
    </row>
    <row r="47" spans="1:5" ht="32.25" customHeight="1" x14ac:dyDescent="0.25">
      <c r="A47" s="86">
        <v>12</v>
      </c>
      <c r="B47" s="90" t="s">
        <v>133</v>
      </c>
      <c r="C47" s="82" t="s">
        <v>135</v>
      </c>
      <c r="D47" s="88">
        <v>45850</v>
      </c>
      <c r="E47" s="69" t="s">
        <v>134</v>
      </c>
    </row>
    <row r="48" spans="1:5" ht="33.75" customHeight="1" x14ac:dyDescent="0.25">
      <c r="A48" s="84">
        <v>13</v>
      </c>
      <c r="B48" s="67" t="s">
        <v>52</v>
      </c>
      <c r="C48" s="32" t="s">
        <v>53</v>
      </c>
      <c r="D48" s="88">
        <v>45850</v>
      </c>
      <c r="E48" s="83" t="s">
        <v>150</v>
      </c>
    </row>
    <row r="49" spans="1:5" ht="36" customHeight="1" x14ac:dyDescent="0.25">
      <c r="A49" s="84">
        <v>14</v>
      </c>
      <c r="B49" s="45" t="s">
        <v>77</v>
      </c>
      <c r="C49" s="31" t="s">
        <v>78</v>
      </c>
      <c r="D49" s="85">
        <v>45852</v>
      </c>
      <c r="E49" s="83" t="s">
        <v>151</v>
      </c>
    </row>
    <row r="50" spans="1:5" ht="40.5" customHeight="1" x14ac:dyDescent="0.25">
      <c r="A50" s="84">
        <v>15</v>
      </c>
      <c r="B50" s="63" t="s">
        <v>79</v>
      </c>
      <c r="C50" s="91" t="s">
        <v>78</v>
      </c>
      <c r="D50" s="85">
        <v>45852</v>
      </c>
      <c r="E50" s="83" t="s">
        <v>152</v>
      </c>
    </row>
    <row r="51" spans="1:5" ht="16.5" customHeight="1" x14ac:dyDescent="0.25">
      <c r="A51" s="84">
        <v>16</v>
      </c>
      <c r="B51" s="43" t="s">
        <v>60</v>
      </c>
      <c r="C51" s="31" t="s">
        <v>61</v>
      </c>
      <c r="D51" s="85">
        <v>45852</v>
      </c>
    </row>
    <row r="52" spans="1:5" ht="99" customHeight="1" x14ac:dyDescent="0.25">
      <c r="A52" s="84">
        <v>17</v>
      </c>
      <c r="B52" s="43" t="s">
        <v>67</v>
      </c>
      <c r="C52" s="31" t="s">
        <v>68</v>
      </c>
      <c r="D52" s="85">
        <v>45855</v>
      </c>
      <c r="E52" s="92" t="s">
        <v>153</v>
      </c>
    </row>
    <row r="53" spans="1:5" ht="16.5" customHeight="1" x14ac:dyDescent="0.25">
      <c r="A53" s="87"/>
      <c r="B53" s="66"/>
      <c r="C53" s="59"/>
      <c r="D53" s="89"/>
    </row>
    <row r="54" spans="1:5" ht="16.5" customHeight="1" x14ac:dyDescent="0.25">
      <c r="A54" s="87"/>
      <c r="D54" s="89"/>
    </row>
    <row r="55" spans="1:5" ht="16.5" customHeight="1" x14ac:dyDescent="0.25">
      <c r="B55" s="66"/>
      <c r="C55" s="59"/>
    </row>
    <row r="59" spans="1:5" s="81" customFormat="1" ht="16.5" customHeight="1" thickBot="1" x14ac:dyDescent="0.3"/>
    <row r="60" spans="1:5" ht="16.5" customHeight="1" thickBot="1" x14ac:dyDescent="0.3">
      <c r="A60" s="13" t="s">
        <v>125</v>
      </c>
      <c r="B60" s="71" t="s">
        <v>48</v>
      </c>
      <c r="C60" s="14" t="s">
        <v>49</v>
      </c>
      <c r="D60" s="70" t="s">
        <v>137</v>
      </c>
    </row>
    <row r="61" spans="1:5" ht="35.25" customHeight="1" thickBot="1" x14ac:dyDescent="0.3">
      <c r="A61" s="15">
        <v>1</v>
      </c>
      <c r="B61" s="72" t="s">
        <v>50</v>
      </c>
      <c r="C61" s="72" t="s">
        <v>138</v>
      </c>
    </row>
    <row r="62" spans="1:5" ht="38.25" customHeight="1" thickBot="1" x14ac:dyDescent="0.3">
      <c r="A62" s="15">
        <v>2</v>
      </c>
      <c r="B62" s="72" t="s">
        <v>65</v>
      </c>
      <c r="C62" s="73" t="s">
        <v>139</v>
      </c>
      <c r="D62" s="76" t="s">
        <v>146</v>
      </c>
    </row>
    <row r="63" spans="1:5" ht="16.5" customHeight="1" thickBot="1" x14ac:dyDescent="0.3">
      <c r="A63" s="15">
        <v>3</v>
      </c>
      <c r="B63" s="72" t="s">
        <v>75</v>
      </c>
      <c r="C63" s="73" t="s">
        <v>140</v>
      </c>
    </row>
    <row r="64" spans="1:5" ht="34.5" customHeight="1" thickBot="1" x14ac:dyDescent="0.3">
      <c r="A64" s="15">
        <v>4</v>
      </c>
      <c r="B64" s="72" t="s">
        <v>79</v>
      </c>
      <c r="C64" s="74" t="s">
        <v>141</v>
      </c>
      <c r="D64" s="76" t="s">
        <v>147</v>
      </c>
    </row>
    <row r="65" spans="1:5" ht="16.5" customHeight="1" thickBot="1" x14ac:dyDescent="0.3">
      <c r="A65" s="15">
        <v>5</v>
      </c>
      <c r="B65" s="72" t="s">
        <v>80</v>
      </c>
      <c r="C65" s="72" t="s">
        <v>142</v>
      </c>
    </row>
    <row r="66" spans="1:5" ht="16.5" customHeight="1" thickBot="1" x14ac:dyDescent="0.3">
      <c r="A66" s="15">
        <v>6</v>
      </c>
      <c r="B66" s="72" t="s">
        <v>83</v>
      </c>
      <c r="C66" s="72" t="s">
        <v>143</v>
      </c>
      <c r="D66" s="50" t="s">
        <v>148</v>
      </c>
    </row>
    <row r="67" spans="1:5" ht="16.5" customHeight="1" thickBot="1" x14ac:dyDescent="0.3">
      <c r="A67" s="15">
        <v>7</v>
      </c>
      <c r="B67" s="72" t="s">
        <v>86</v>
      </c>
      <c r="C67" s="72" t="s">
        <v>144</v>
      </c>
    </row>
    <row r="68" spans="1:5" ht="16.5" customHeight="1" thickBot="1" x14ac:dyDescent="0.3">
      <c r="A68" s="15">
        <v>8</v>
      </c>
      <c r="B68" s="72" t="s">
        <v>88</v>
      </c>
      <c r="C68" s="72" t="s">
        <v>145</v>
      </c>
      <c r="D68" s="150" t="s">
        <v>149</v>
      </c>
    </row>
    <row r="69" spans="1:5" ht="16.5" customHeight="1" thickBot="1" x14ac:dyDescent="0.3">
      <c r="A69" s="15">
        <v>9</v>
      </c>
      <c r="B69" s="72" t="s">
        <v>90</v>
      </c>
      <c r="C69" s="72" t="s">
        <v>145</v>
      </c>
      <c r="D69" s="151"/>
    </row>
    <row r="70" spans="1:5" ht="16.5" customHeight="1" x14ac:dyDescent="0.25">
      <c r="A70" s="75"/>
      <c r="B70"/>
      <c r="C70"/>
    </row>
    <row r="72" spans="1:5" ht="16.5" customHeight="1" thickBot="1" x14ac:dyDescent="0.3">
      <c r="A72" s="15">
        <v>13</v>
      </c>
      <c r="B72" s="16" t="s">
        <v>77</v>
      </c>
      <c r="C72" s="25" t="s">
        <v>78</v>
      </c>
      <c r="D72" s="77">
        <v>45852</v>
      </c>
      <c r="E72" s="31" t="s">
        <v>124</v>
      </c>
    </row>
    <row r="73" spans="1:5" ht="16.5" customHeight="1" thickBot="1" x14ac:dyDescent="0.3">
      <c r="A73" s="15">
        <v>14</v>
      </c>
      <c r="B73" s="16" t="s">
        <v>79</v>
      </c>
      <c r="C73" s="27" t="s">
        <v>78</v>
      </c>
      <c r="D73" s="77">
        <v>45852</v>
      </c>
      <c r="E73" s="33"/>
    </row>
    <row r="74" spans="1:5" ht="16.5" customHeight="1" thickBot="1" x14ac:dyDescent="0.3">
      <c r="A74" s="15">
        <v>2</v>
      </c>
      <c r="B74" s="57" t="s">
        <v>128</v>
      </c>
      <c r="C74" s="26" t="s">
        <v>53</v>
      </c>
      <c r="D74" s="78">
        <v>45850</v>
      </c>
      <c r="E74" s="32" t="s">
        <v>121</v>
      </c>
    </row>
    <row r="78" spans="1:5" ht="16.5" customHeight="1" thickBot="1" x14ac:dyDescent="0.3"/>
    <row r="79" spans="1:5" ht="16.5" customHeight="1" thickBot="1" x14ac:dyDescent="0.3">
      <c r="A79" s="13" t="s">
        <v>125</v>
      </c>
      <c r="B79" s="71" t="s">
        <v>48</v>
      </c>
      <c r="C79" s="14" t="s">
        <v>49</v>
      </c>
      <c r="D79" s="14" t="s">
        <v>154</v>
      </c>
      <c r="E79" s="14" t="s">
        <v>120</v>
      </c>
    </row>
    <row r="80" spans="1:5" ht="16.5" customHeight="1" thickBot="1" x14ac:dyDescent="0.3">
      <c r="A80" s="15">
        <v>1</v>
      </c>
      <c r="B80" s="72" t="s">
        <v>50</v>
      </c>
      <c r="C80" s="72" t="s">
        <v>51</v>
      </c>
      <c r="D80" s="93">
        <v>45848</v>
      </c>
      <c r="E80" s="109" t="s">
        <v>155</v>
      </c>
    </row>
    <row r="81" spans="1:6" ht="16.5" customHeight="1" thickBot="1" x14ac:dyDescent="0.3">
      <c r="A81" s="15">
        <v>2</v>
      </c>
      <c r="B81" s="72" t="s">
        <v>65</v>
      </c>
      <c r="C81" s="73" t="s">
        <v>66</v>
      </c>
      <c r="D81" s="93">
        <v>45848</v>
      </c>
      <c r="E81" s="109" t="s">
        <v>156</v>
      </c>
    </row>
    <row r="82" spans="1:6" ht="16.5" customHeight="1" thickBot="1" x14ac:dyDescent="0.3">
      <c r="A82" s="15">
        <v>3</v>
      </c>
      <c r="B82" s="72" t="s">
        <v>75</v>
      </c>
      <c r="C82" s="73" t="s">
        <v>76</v>
      </c>
      <c r="D82" s="93">
        <v>45848</v>
      </c>
      <c r="E82" s="72" t="s">
        <v>157</v>
      </c>
    </row>
    <row r="83" spans="1:6" ht="16.5" customHeight="1" thickBot="1" x14ac:dyDescent="0.3">
      <c r="A83" s="15">
        <v>4</v>
      </c>
      <c r="B83" s="72" t="s">
        <v>79</v>
      </c>
      <c r="C83" s="74" t="s">
        <v>78</v>
      </c>
      <c r="D83" s="94">
        <v>45848</v>
      </c>
      <c r="E83" s="109" t="s">
        <v>158</v>
      </c>
    </row>
    <row r="84" spans="1:6" ht="16.5" customHeight="1" thickBot="1" x14ac:dyDescent="0.3">
      <c r="A84" s="15">
        <v>5</v>
      </c>
      <c r="B84" s="72" t="s">
        <v>80</v>
      </c>
      <c r="C84" s="72" t="s">
        <v>51</v>
      </c>
      <c r="D84" s="93">
        <v>45848</v>
      </c>
      <c r="E84" s="109" t="s">
        <v>155</v>
      </c>
    </row>
    <row r="85" spans="1:6" ht="16.5" customHeight="1" thickBot="1" x14ac:dyDescent="0.3">
      <c r="A85" s="15">
        <v>6</v>
      </c>
      <c r="B85" s="72" t="s">
        <v>83</v>
      </c>
      <c r="C85" s="72" t="s">
        <v>82</v>
      </c>
      <c r="D85" s="93">
        <v>45848</v>
      </c>
      <c r="E85" s="109" t="s">
        <v>159</v>
      </c>
    </row>
    <row r="86" spans="1:6" ht="16.5" customHeight="1" thickBot="1" x14ac:dyDescent="0.3">
      <c r="A86" s="15">
        <v>7</v>
      </c>
      <c r="B86" s="72" t="s">
        <v>86</v>
      </c>
      <c r="C86" s="72" t="s">
        <v>87</v>
      </c>
      <c r="D86" s="93">
        <v>45848</v>
      </c>
      <c r="E86" s="72" t="s">
        <v>160</v>
      </c>
    </row>
    <row r="87" spans="1:6" ht="16.5" customHeight="1" thickBot="1" x14ac:dyDescent="0.3">
      <c r="A87" s="15">
        <v>8</v>
      </c>
      <c r="B87" s="72" t="s">
        <v>88</v>
      </c>
      <c r="C87" s="72" t="s">
        <v>89</v>
      </c>
      <c r="D87" s="93">
        <v>45848</v>
      </c>
      <c r="E87" s="109" t="s">
        <v>161</v>
      </c>
    </row>
    <row r="88" spans="1:6" ht="16.5" customHeight="1" thickBot="1" x14ac:dyDescent="0.3">
      <c r="A88" s="17">
        <v>9</v>
      </c>
      <c r="B88" s="95" t="s">
        <v>90</v>
      </c>
      <c r="C88" s="95" t="s">
        <v>89</v>
      </c>
      <c r="D88" s="96">
        <v>45848</v>
      </c>
      <c r="E88" s="109" t="s">
        <v>162</v>
      </c>
    </row>
    <row r="89" spans="1:6" ht="16.5" customHeight="1" thickBot="1" x14ac:dyDescent="0.3">
      <c r="A89" s="97">
        <v>10</v>
      </c>
      <c r="B89" s="98" t="s">
        <v>56</v>
      </c>
      <c r="C89" s="98" t="s">
        <v>57</v>
      </c>
      <c r="D89" s="99">
        <v>45850</v>
      </c>
      <c r="E89" s="100" t="s">
        <v>163</v>
      </c>
    </row>
    <row r="90" spans="1:6" ht="16.5" customHeight="1" thickBot="1" x14ac:dyDescent="0.3">
      <c r="A90" s="15">
        <v>11</v>
      </c>
      <c r="B90" s="100" t="s">
        <v>132</v>
      </c>
      <c r="C90" s="95" t="s">
        <v>63</v>
      </c>
      <c r="D90" s="102">
        <v>45850</v>
      </c>
      <c r="E90" s="103"/>
    </row>
    <row r="91" spans="1:6" ht="16.5" customHeight="1" x14ac:dyDescent="0.25">
      <c r="A91" s="132">
        <v>12</v>
      </c>
      <c r="B91" s="136" t="s">
        <v>133</v>
      </c>
      <c r="C91" s="136" t="s">
        <v>135</v>
      </c>
      <c r="D91" s="139">
        <v>45850</v>
      </c>
      <c r="E91" s="104" t="s">
        <v>164</v>
      </c>
    </row>
    <row r="92" spans="1:6" ht="16.5" customHeight="1" x14ac:dyDescent="0.25">
      <c r="A92" s="133"/>
      <c r="B92" s="137"/>
      <c r="C92" s="137"/>
      <c r="D92" s="140"/>
      <c r="E92" s="104" t="s">
        <v>165</v>
      </c>
    </row>
    <row r="93" spans="1:6" ht="87.75" customHeight="1" thickBot="1" x14ac:dyDescent="0.3">
      <c r="A93" s="134"/>
      <c r="B93" s="138"/>
      <c r="C93" s="138"/>
      <c r="D93" s="141"/>
      <c r="E93" s="110" t="s">
        <v>166</v>
      </c>
      <c r="F93" s="69" t="s">
        <v>175</v>
      </c>
    </row>
    <row r="94" spans="1:6" ht="16.5" customHeight="1" x14ac:dyDescent="0.25">
      <c r="A94" s="132">
        <v>13</v>
      </c>
      <c r="B94" s="144" t="s">
        <v>52</v>
      </c>
      <c r="C94" s="144" t="s">
        <v>53</v>
      </c>
      <c r="D94" s="139">
        <v>45850</v>
      </c>
      <c r="E94" s="100" t="s">
        <v>167</v>
      </c>
    </row>
    <row r="95" spans="1:6" ht="16.5" customHeight="1" thickBot="1" x14ac:dyDescent="0.3">
      <c r="A95" s="134"/>
      <c r="B95" s="145"/>
      <c r="C95" s="145"/>
      <c r="D95" s="141"/>
      <c r="E95" s="111" t="s">
        <v>168</v>
      </c>
    </row>
    <row r="96" spans="1:6" ht="16.5" customHeight="1" x14ac:dyDescent="0.25">
      <c r="A96" s="132">
        <v>14</v>
      </c>
      <c r="B96" s="136" t="s">
        <v>77</v>
      </c>
      <c r="C96" s="136" t="s">
        <v>78</v>
      </c>
      <c r="D96" s="139">
        <v>45852</v>
      </c>
      <c r="E96" s="100" t="s">
        <v>169</v>
      </c>
    </row>
    <row r="97" spans="1:5" ht="16.5" customHeight="1" thickBot="1" x14ac:dyDescent="0.3">
      <c r="A97" s="134"/>
      <c r="B97" s="138"/>
      <c r="C97" s="138"/>
      <c r="D97" s="141"/>
      <c r="E97" s="105" t="s">
        <v>176</v>
      </c>
    </row>
    <row r="98" spans="1:5" ht="16.5" customHeight="1" x14ac:dyDescent="0.25">
      <c r="A98" s="132">
        <v>15</v>
      </c>
      <c r="B98" s="136" t="s">
        <v>79</v>
      </c>
      <c r="C98" s="142" t="s">
        <v>78</v>
      </c>
      <c r="D98" s="139">
        <v>45852</v>
      </c>
      <c r="E98" s="100" t="s">
        <v>167</v>
      </c>
    </row>
    <row r="99" spans="1:5" ht="16.5" customHeight="1" thickBot="1" x14ac:dyDescent="0.3">
      <c r="A99" s="134"/>
      <c r="B99" s="138"/>
      <c r="C99" s="143"/>
      <c r="D99" s="141"/>
      <c r="E99" s="111" t="s">
        <v>170</v>
      </c>
    </row>
    <row r="100" spans="1:5" ht="16.5" customHeight="1" thickBot="1" x14ac:dyDescent="0.3">
      <c r="A100" s="106">
        <v>16</v>
      </c>
      <c r="B100" s="107" t="s">
        <v>60</v>
      </c>
      <c r="C100" s="103" t="s">
        <v>61</v>
      </c>
      <c r="D100" s="93">
        <v>45852</v>
      </c>
      <c r="E100" s="109" t="s">
        <v>171</v>
      </c>
    </row>
    <row r="101" spans="1:5" ht="16.5" customHeight="1" x14ac:dyDescent="0.25">
      <c r="A101" s="132">
        <v>17</v>
      </c>
      <c r="B101" s="136" t="s">
        <v>67</v>
      </c>
      <c r="C101" s="136" t="s">
        <v>68</v>
      </c>
      <c r="D101" s="139">
        <v>45855</v>
      </c>
      <c r="E101" s="100" t="s">
        <v>177</v>
      </c>
    </row>
    <row r="102" spans="1:5" ht="16.5" customHeight="1" x14ac:dyDescent="0.25">
      <c r="A102" s="133"/>
      <c r="B102" s="137"/>
      <c r="C102" s="137"/>
      <c r="D102" s="140"/>
      <c r="E102" s="104" t="s">
        <v>172</v>
      </c>
    </row>
    <row r="103" spans="1:5" ht="16.5" customHeight="1" x14ac:dyDescent="0.25">
      <c r="A103" s="133"/>
      <c r="B103" s="137"/>
      <c r="C103" s="137"/>
      <c r="D103" s="140"/>
      <c r="E103" s="101"/>
    </row>
    <row r="104" spans="1:5" ht="16.5" customHeight="1" x14ac:dyDescent="0.25">
      <c r="A104" s="133"/>
      <c r="B104" s="137"/>
      <c r="C104" s="137"/>
      <c r="D104" s="140"/>
      <c r="E104" s="100" t="s">
        <v>173</v>
      </c>
    </row>
    <row r="105" spans="1:5" ht="16.5" customHeight="1" thickBot="1" x14ac:dyDescent="0.3">
      <c r="A105" s="134"/>
      <c r="B105" s="138"/>
      <c r="C105" s="138"/>
      <c r="D105" s="141"/>
      <c r="E105" s="108" t="s">
        <v>174</v>
      </c>
    </row>
  </sheetData>
  <mergeCells count="31">
    <mergeCell ref="A4:A6"/>
    <mergeCell ref="B4:B6"/>
    <mergeCell ref="D4:D6"/>
    <mergeCell ref="E4:E6"/>
    <mergeCell ref="D68:D69"/>
    <mergeCell ref="D29:D31"/>
    <mergeCell ref="E29:E31"/>
    <mergeCell ref="A25:A27"/>
    <mergeCell ref="B25:B27"/>
    <mergeCell ref="A29:A31"/>
    <mergeCell ref="B29:B31"/>
    <mergeCell ref="A91:A93"/>
    <mergeCell ref="B91:B93"/>
    <mergeCell ref="C91:C93"/>
    <mergeCell ref="D91:D93"/>
    <mergeCell ref="A94:A95"/>
    <mergeCell ref="B94:B95"/>
    <mergeCell ref="C94:C95"/>
    <mergeCell ref="D94:D95"/>
    <mergeCell ref="A101:A105"/>
    <mergeCell ref="B101:B105"/>
    <mergeCell ref="C101:C105"/>
    <mergeCell ref="D101:D105"/>
    <mergeCell ref="A96:A97"/>
    <mergeCell ref="B96:B97"/>
    <mergeCell ref="C96:C97"/>
    <mergeCell ref="D96:D97"/>
    <mergeCell ref="A98:A99"/>
    <mergeCell ref="B98:B99"/>
    <mergeCell ref="C98:C99"/>
    <mergeCell ref="D98:D9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E5788-1914-43A7-8AF8-451870BAE124}">
  <dimension ref="A1:C10"/>
  <sheetViews>
    <sheetView workbookViewId="0">
      <selection sqref="A1:C1"/>
    </sheetView>
  </sheetViews>
  <sheetFormatPr defaultRowHeight="15" x14ac:dyDescent="0.25"/>
  <cols>
    <col min="1" max="1" width="24.28515625" style="3" bestFit="1" customWidth="1"/>
    <col min="2" max="2" width="67.7109375" style="3" customWidth="1"/>
    <col min="3" max="3" width="37.7109375" style="3" customWidth="1"/>
    <col min="4" max="16384" width="9.140625" style="3"/>
  </cols>
  <sheetData>
    <row r="1" spans="1:3" x14ac:dyDescent="0.25">
      <c r="A1" s="7" t="s">
        <v>27</v>
      </c>
      <c r="B1" s="7" t="s">
        <v>28</v>
      </c>
      <c r="C1" s="7" t="s">
        <v>29</v>
      </c>
    </row>
    <row r="2" spans="1:3" x14ac:dyDescent="0.25">
      <c r="A2" s="3" t="s">
        <v>15</v>
      </c>
      <c r="B2" s="8" t="s">
        <v>16</v>
      </c>
    </row>
    <row r="3" spans="1:3" ht="45" customHeight="1" x14ac:dyDescent="0.25">
      <c r="A3" s="154" t="s">
        <v>18</v>
      </c>
      <c r="B3" s="152" t="s">
        <v>17</v>
      </c>
      <c r="C3" s="6" t="s">
        <v>19</v>
      </c>
    </row>
    <row r="4" spans="1:3" x14ac:dyDescent="0.25">
      <c r="A4" s="155"/>
      <c r="B4" s="153"/>
      <c r="C4" s="4" t="s">
        <v>20</v>
      </c>
    </row>
    <row r="6" spans="1:3" x14ac:dyDescent="0.25">
      <c r="A6" s="3" t="s">
        <v>22</v>
      </c>
      <c r="B6" s="9" t="s">
        <v>21</v>
      </c>
      <c r="C6" s="10" t="s">
        <v>33</v>
      </c>
    </row>
    <row r="7" spans="1:3" x14ac:dyDescent="0.25">
      <c r="A7" s="3" t="s">
        <v>30</v>
      </c>
      <c r="B7" s="8" t="s">
        <v>23</v>
      </c>
      <c r="C7" s="3" t="s">
        <v>24</v>
      </c>
    </row>
    <row r="8" spans="1:3" x14ac:dyDescent="0.25">
      <c r="A8" s="3" t="s">
        <v>26</v>
      </c>
      <c r="B8" s="4" t="s">
        <v>25</v>
      </c>
    </row>
    <row r="10" spans="1:3" x14ac:dyDescent="0.25">
      <c r="A10" s="3" t="s">
        <v>35</v>
      </c>
      <c r="B10" s="3" t="s">
        <v>34</v>
      </c>
    </row>
  </sheetData>
  <mergeCells count="2">
    <mergeCell ref="B3:B4"/>
    <mergeCell ref="A3:A4"/>
  </mergeCells>
  <hyperlinks>
    <hyperlink ref="C3" r:id="rId1" display="http://23.111.175.186/InfinityERP/OST/OSTReport.aspx" xr:uid="{054988BA-C86E-462B-B692-F5EB8095AC52}"/>
    <hyperlink ref="C4" r:id="rId2" display="http://23.111.175.186/InfinityERP/OST/OSTReport.aspx" xr:uid="{A4A218F7-2D68-4E41-AB1B-93E036436BD8}"/>
    <hyperlink ref="B3" r:id="rId3" xr:uid="{5F21C548-FFCA-442E-B834-C511D50C92E5}"/>
    <hyperlink ref="B6" r:id="rId4" xr:uid="{C37E4B58-F4ED-4094-8CF4-8B0829D283ED}"/>
    <hyperlink ref="B8" r:id="rId5" xr:uid="{0DFDE7D3-F8AE-4773-ACF0-AF81AE699177}"/>
  </hyperlinks>
  <pageMargins left="0.7" right="0.7" top="0.75" bottom="0.75" header="0.3" footer="0.3"/>
  <pageSetup orientation="portrait"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5F3B2-0881-4109-BF4D-8CD5B00E1A1E}">
  <dimension ref="A1:K9"/>
  <sheetViews>
    <sheetView workbookViewId="0">
      <selection activeCell="A8" sqref="A8"/>
    </sheetView>
  </sheetViews>
  <sheetFormatPr defaultRowHeight="15" x14ac:dyDescent="0.25"/>
  <cols>
    <col min="1" max="1" width="21.5703125" bestFit="1" customWidth="1"/>
    <col min="2" max="2" width="63.85546875" bestFit="1" customWidth="1"/>
    <col min="11" max="11" width="20" bestFit="1" customWidth="1"/>
  </cols>
  <sheetData>
    <row r="1" spans="1:11" x14ac:dyDescent="0.25">
      <c r="A1" t="s">
        <v>37</v>
      </c>
      <c r="K1" s="11" t="s">
        <v>46</v>
      </c>
    </row>
    <row r="2" spans="1:11" x14ac:dyDescent="0.25">
      <c r="A2" t="s">
        <v>36</v>
      </c>
    </row>
    <row r="4" spans="1:11" x14ac:dyDescent="0.25">
      <c r="A4" t="s">
        <v>38</v>
      </c>
      <c r="B4" t="s">
        <v>39</v>
      </c>
    </row>
    <row r="5" spans="1:11" x14ac:dyDescent="0.25">
      <c r="B5" t="s">
        <v>40</v>
      </c>
    </row>
    <row r="7" spans="1:11" x14ac:dyDescent="0.25">
      <c r="A7" t="s">
        <v>45</v>
      </c>
      <c r="B7" t="s">
        <v>41</v>
      </c>
    </row>
    <row r="8" spans="1:11" x14ac:dyDescent="0.25">
      <c r="A8" t="s">
        <v>42</v>
      </c>
      <c r="B8" t="s">
        <v>44</v>
      </c>
    </row>
    <row r="9" spans="1:11" x14ac:dyDescent="0.25">
      <c r="B9" t="s">
        <v>43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C184B-4AFD-46BE-82A3-FE4D7384EA62}">
  <dimension ref="A1:D1"/>
  <sheetViews>
    <sheetView workbookViewId="0">
      <selection activeCell="A2" sqref="A2"/>
    </sheetView>
  </sheetViews>
  <sheetFormatPr defaultRowHeight="15" x14ac:dyDescent="0.25"/>
  <cols>
    <col min="1" max="1" width="12.7109375" customWidth="1"/>
    <col min="2" max="2" width="25.5703125" customWidth="1"/>
    <col min="3" max="3" width="44.7109375" customWidth="1"/>
    <col min="4" max="4" width="31.5703125" customWidth="1"/>
  </cols>
  <sheetData>
    <row r="1" spans="1:4" x14ac:dyDescent="0.25">
      <c r="A1" s="112" t="s">
        <v>178</v>
      </c>
      <c r="B1" s="112" t="s">
        <v>27</v>
      </c>
      <c r="C1" s="112" t="s">
        <v>28</v>
      </c>
      <c r="D1" s="112"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Sheet3</vt:lpstr>
      <vt:lpstr>ERP</vt:lpstr>
      <vt:lpstr>Sheet6</vt:lpstr>
      <vt:lpstr>Sheet2</vt:lpstr>
      <vt:lpstr>Sheet4</vt:lpstr>
      <vt:lpstr>Sheet5</vt:lpstr>
      <vt:lpstr>OST</vt:lpstr>
      <vt:lpstr>Billing</vt:lpstr>
      <vt:lpstr>WBT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Shubhangi Bobade</dc:creator>
  <cp:lastModifiedBy>Shubhangi Bobade</cp:lastModifiedBy>
  <dcterms:created xsi:type="dcterms:W3CDTF">2025-04-24T14:20:34Z</dcterms:created>
  <dcterms:modified xsi:type="dcterms:W3CDTF">2025-11-15T10:41:32Z</dcterms:modified>
</cp:coreProperties>
</file>