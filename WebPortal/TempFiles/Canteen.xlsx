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g\Desktop\"/>
    </mc:Choice>
  </mc:AlternateContent>
  <xr:revisionPtr revIDLastSave="0" documentId="13_ncr:1_{E714AFC5-4813-4A58-A3E8-8C01301D94DA}" xr6:coauthVersionLast="47" xr6:coauthVersionMax="47" xr10:uidLastSave="{00000000-0000-0000-0000-000000000000}"/>
  <bookViews>
    <workbookView xWindow="-120" yWindow="-120" windowWidth="20730" windowHeight="11160" activeTab="5" xr2:uid="{86DF561F-BEE2-4A02-BD7F-B89394B40DF0}"/>
  </bookViews>
  <sheets>
    <sheet name="Sheet1" sheetId="1" r:id="rId1"/>
    <sheet name="Sheet7" sheetId="7" r:id="rId2"/>
    <sheet name="Sheet5" sheetId="5" r:id="rId3"/>
    <sheet name="Sheet3" sheetId="3" r:id="rId4"/>
    <sheet name="Sheet6" sheetId="12" r:id="rId5"/>
    <sheet name="JWL" sheetId="4" r:id="rId6"/>
    <sheet name="Sheet9" sheetId="9" r:id="rId7"/>
    <sheet name="Sheet4" sheetId="11" r:id="rId8"/>
    <sheet name="Sheet8" sheetId="13" r:id="rId9"/>
  </sheets>
  <definedNames>
    <definedName name="E500000000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3" i="4" l="1"/>
  <c r="D68" i="4"/>
  <c r="D66" i="4"/>
  <c r="D65" i="4"/>
  <c r="D71" i="4"/>
  <c r="O15" i="13"/>
  <c r="O11" i="13"/>
  <c r="O12" i="13" s="1"/>
  <c r="O13" i="13" s="1"/>
  <c r="O14" i="13" s="1"/>
  <c r="O10" i="13"/>
  <c r="N8" i="13"/>
  <c r="D64" i="4"/>
  <c r="E42" i="4"/>
  <c r="F42" i="4" s="1"/>
  <c r="C49" i="4"/>
  <c r="C50" i="4" s="1"/>
  <c r="A49" i="4"/>
  <c r="B49" i="4"/>
  <c r="P7" i="12"/>
  <c r="O7" i="12"/>
  <c r="J16" i="12"/>
  <c r="J15" i="12"/>
  <c r="L15" i="12"/>
  <c r="L14" i="12"/>
  <c r="K14" i="12"/>
  <c r="K13" i="12"/>
  <c r="K11" i="12"/>
  <c r="K10" i="12"/>
  <c r="M7" i="12"/>
  <c r="K7" i="12"/>
  <c r="K8" i="12"/>
  <c r="N13" i="11"/>
  <c r="F3" i="11"/>
  <c r="N12" i="11"/>
  <c r="L11" i="11"/>
  <c r="L12" i="11" s="1"/>
  <c r="M12" i="11" s="1"/>
  <c r="N7" i="11"/>
  <c r="M11" i="5"/>
  <c r="K11" i="5"/>
  <c r="K10" i="5"/>
  <c r="L3" i="5"/>
  <c r="K6" i="5"/>
  <c r="K5" i="5"/>
  <c r="O44" i="4"/>
  <c r="P11" i="9"/>
  <c r="N11" i="9"/>
  <c r="M10" i="9"/>
  <c r="J4" i="9"/>
  <c r="Q36" i="4"/>
  <c r="P38" i="4"/>
  <c r="D76" i="4" l="1"/>
  <c r="B50" i="4"/>
  <c r="F24" i="1"/>
  <c r="G24" i="1"/>
  <c r="H13" i="9"/>
  <c r="G13" i="9"/>
  <c r="H12" i="9"/>
  <c r="H10" i="9"/>
  <c r="G8" i="9"/>
  <c r="K11" i="9"/>
  <c r="J10" i="9"/>
  <c r="J8" i="9"/>
  <c r="I8" i="9"/>
  <c r="D16" i="7"/>
  <c r="D17" i="7"/>
  <c r="D18" i="7"/>
  <c r="D19" i="7"/>
  <c r="D20" i="7"/>
  <c r="D21" i="7"/>
  <c r="D22" i="7"/>
  <c r="D23" i="7"/>
  <c r="D24" i="7"/>
  <c r="D25" i="7"/>
  <c r="D26" i="7"/>
  <c r="D27" i="7"/>
  <c r="L41" i="4" l="1"/>
  <c r="I42" i="4"/>
  <c r="Q29" i="4"/>
  <c r="P32" i="4"/>
  <c r="P33" i="4" s="1"/>
  <c r="C28" i="7"/>
  <c r="D9" i="7"/>
  <c r="D10" i="7"/>
  <c r="D5" i="7"/>
  <c r="D13" i="7"/>
  <c r="D12" i="7"/>
  <c r="D11" i="7"/>
  <c r="D8" i="7"/>
  <c r="D7" i="7"/>
  <c r="D6" i="7"/>
  <c r="D4" i="7"/>
  <c r="D2" i="7"/>
  <c r="I35" i="4"/>
  <c r="I43" i="4" l="1"/>
  <c r="D28" i="7"/>
  <c r="I4" i="7"/>
  <c r="I5" i="7"/>
  <c r="I6" i="7"/>
  <c r="I7" i="7"/>
  <c r="I8" i="7"/>
  <c r="E24" i="1"/>
  <c r="M22" i="3"/>
  <c r="L24" i="3"/>
  <c r="L23" i="3"/>
  <c r="L22" i="3"/>
  <c r="L21" i="3"/>
  <c r="L20" i="3"/>
  <c r="I24" i="3"/>
  <c r="H17" i="3"/>
  <c r="I16" i="3"/>
  <c r="I15" i="3"/>
  <c r="I14" i="3"/>
  <c r="I13" i="3"/>
  <c r="H13" i="3"/>
  <c r="H14" i="3"/>
  <c r="H15" i="3"/>
  <c r="H16" i="3"/>
  <c r="G16" i="3"/>
  <c r="M12" i="3"/>
  <c r="N12" i="3"/>
  <c r="M15" i="3"/>
  <c r="J37" i="1"/>
  <c r="J38" i="1" s="1"/>
  <c r="J32" i="1"/>
  <c r="J33" i="1" s="1"/>
  <c r="J45" i="4" l="1"/>
  <c r="I45" i="4"/>
  <c r="P5" i="3"/>
  <c r="O3" i="3"/>
  <c r="J4" i="3"/>
  <c r="J10" i="3"/>
  <c r="I10" i="3" s="1"/>
</calcChain>
</file>

<file path=xl/sharedStrings.xml><?xml version="1.0" encoding="utf-8"?>
<sst xmlns="http://schemas.openxmlformats.org/spreadsheetml/2006/main" count="122" uniqueCount="81">
  <si>
    <t>Date</t>
  </si>
  <si>
    <t>Food Item</t>
  </si>
  <si>
    <t>Quantity</t>
  </si>
  <si>
    <t>Amount</t>
  </si>
  <si>
    <t>Sr. No</t>
  </si>
  <si>
    <t>Shubhangi</t>
  </si>
  <si>
    <t xml:space="preserve"> </t>
  </si>
  <si>
    <t>Basic</t>
  </si>
  <si>
    <t>PF</t>
  </si>
  <si>
    <t>ESIC</t>
  </si>
  <si>
    <t>PT</t>
  </si>
  <si>
    <t>Tiffin</t>
  </si>
  <si>
    <t>Sr. #</t>
  </si>
  <si>
    <t>Cost</t>
  </si>
  <si>
    <t>Day</t>
  </si>
  <si>
    <t>Monday</t>
  </si>
  <si>
    <t>Tuesday</t>
  </si>
  <si>
    <t>Wednesday</t>
  </si>
  <si>
    <t>Thursday</t>
  </si>
  <si>
    <t>Friday</t>
  </si>
  <si>
    <t>Saturday</t>
  </si>
  <si>
    <t>Set</t>
  </si>
  <si>
    <t>MangalSutra</t>
  </si>
  <si>
    <t>Patlya</t>
  </si>
  <si>
    <t>Bangles</t>
  </si>
  <si>
    <t>Bor mal</t>
  </si>
  <si>
    <t>Raw</t>
  </si>
  <si>
    <t>Earings</t>
  </si>
  <si>
    <t>Rings</t>
  </si>
  <si>
    <t>Karande</t>
  </si>
  <si>
    <t>Wati</t>
  </si>
  <si>
    <t>Tulas</t>
  </si>
  <si>
    <t>Glass</t>
  </si>
  <si>
    <t>Samai</t>
  </si>
  <si>
    <t>UdabattiGhar</t>
  </si>
  <si>
    <t>Niranajan</t>
  </si>
  <si>
    <t>Choti Wati</t>
  </si>
  <si>
    <t>Pan Supari</t>
  </si>
  <si>
    <t>Chain</t>
  </si>
  <si>
    <t>Chamcha</t>
  </si>
  <si>
    <t>Swapnil Gadgale</t>
  </si>
  <si>
    <t>s</t>
  </si>
  <si>
    <t>Kerla</t>
  </si>
  <si>
    <t>Pune</t>
  </si>
  <si>
    <t>5088 - 5302-9090-7757</t>
  </si>
  <si>
    <t>4 Polya</t>
  </si>
  <si>
    <t>Entity</t>
  </si>
  <si>
    <t>Methi</t>
  </si>
  <si>
    <t>Mataki</t>
  </si>
  <si>
    <t>Kothimbir</t>
  </si>
  <si>
    <t>Split</t>
  </si>
  <si>
    <t>Aarti</t>
  </si>
  <si>
    <t>Gargee</t>
  </si>
  <si>
    <t>Lasun</t>
  </si>
  <si>
    <t>Aatya</t>
  </si>
  <si>
    <t>Niranjan</t>
  </si>
  <si>
    <t>Udabatti ghar</t>
  </si>
  <si>
    <t>1 coffee</t>
  </si>
  <si>
    <t>Wal</t>
  </si>
  <si>
    <t>Dudh</t>
  </si>
  <si>
    <t>Bhendi</t>
  </si>
  <si>
    <t>Mohari</t>
  </si>
  <si>
    <t>Jeer</t>
  </si>
  <si>
    <t>Toilet Cleaner</t>
  </si>
  <si>
    <t>Pulgaon</t>
  </si>
  <si>
    <t>Ticket</t>
  </si>
  <si>
    <t>x</t>
  </si>
  <si>
    <t>InstaMart - RrNo- 252</t>
  </si>
  <si>
    <t>Myn</t>
  </si>
  <si>
    <t>H</t>
  </si>
  <si>
    <t>S</t>
  </si>
  <si>
    <t>U</t>
  </si>
  <si>
    <t>M Credit</t>
  </si>
  <si>
    <t xml:space="preserve">    </t>
  </si>
  <si>
    <t>Bracelate</t>
  </si>
  <si>
    <t>Gold</t>
  </si>
  <si>
    <t>Silver</t>
  </si>
  <si>
    <t>Ornment</t>
  </si>
  <si>
    <t>Weight</t>
  </si>
  <si>
    <t>Ear-Rings</t>
  </si>
  <si>
    <t>Mini-Mangalsutra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</si>
</sst>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1678FB"/>
      <name val="Arial"/>
      <family val="2"/>
    </font>
    <font>
      <sz val="11"/>
      <color rgb="FFFFFF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15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3" fontId="3" fillId="0" borderId="0" xfId="0" applyNumberFormat="1" applyFont="1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/>
    <xf numFmtId="15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6" fontId="2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0" fillId="3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0" borderId="1" xfId="0" applyFont="1" applyBorder="1"/>
    <xf numFmtId="0" fontId="1" fillId="6" borderId="1" xfId="0" applyFont="1" applyFill="1" applyBorder="1"/>
    <xf numFmtId="16" fontId="0" fillId="0" borderId="0" xfId="0" applyNumberFormat="1"/>
    <xf numFmtId="0" fontId="1" fillId="9" borderId="1" xfId="0" applyFont="1" applyFill="1" applyBorder="1"/>
    <xf numFmtId="15" fontId="0" fillId="0" borderId="1" xfId="0" applyNumberFormat="1" applyBorder="1"/>
    <xf numFmtId="15" fontId="0" fillId="0" borderId="2" xfId="0" applyNumberFormat="1" applyBorder="1"/>
    <xf numFmtId="0" fontId="0" fillId="0" borderId="2" xfId="0" applyBorder="1"/>
    <xf numFmtId="0" fontId="1" fillId="9" borderId="3" xfId="0" applyFont="1" applyFill="1" applyBorder="1"/>
    <xf numFmtId="0" fontId="0" fillId="0" borderId="2" xfId="0" applyBorder="1" applyAlignment="1">
      <alignment horizontal="center"/>
    </xf>
    <xf numFmtId="164" fontId="0" fillId="0" borderId="0" xfId="0" applyNumberFormat="1"/>
    <xf numFmtId="2" fontId="2" fillId="0" borderId="0" xfId="0" applyNumberFormat="1" applyFont="1"/>
    <xf numFmtId="0" fontId="0" fillId="10" borderId="1" xfId="0" applyFill="1" applyBorder="1"/>
    <xf numFmtId="0" fontId="0" fillId="11" borderId="1" xfId="0" applyFill="1" applyBorder="1" applyAlignment="1">
      <alignment horizontal="center" vertical="center"/>
    </xf>
    <xf numFmtId="0" fontId="1" fillId="10" borderId="1" xfId="0" applyFont="1" applyFill="1" applyBorder="1"/>
    <xf numFmtId="0" fontId="0" fillId="0" borderId="1" xfId="0" applyFill="1" applyBorder="1"/>
    <xf numFmtId="0" fontId="5" fillId="8" borderId="1" xfId="0" applyFont="1" applyFill="1" applyBorder="1"/>
    <xf numFmtId="0" fontId="2" fillId="0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0" fillId="0" borderId="0" xfId="0" applyBorder="1"/>
    <xf numFmtId="0" fontId="1" fillId="10" borderId="2" xfId="0" applyFont="1" applyFill="1" applyBorder="1" applyAlignment="1">
      <alignment horizontal="center" vertical="center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2136-E5B9-4462-83DA-8284D2860A84}">
  <dimension ref="A1:P46"/>
  <sheetViews>
    <sheetView workbookViewId="0">
      <selection activeCell="E39" sqref="E39"/>
    </sheetView>
  </sheetViews>
  <sheetFormatPr defaultRowHeight="12.75" x14ac:dyDescent="0.2"/>
  <cols>
    <col min="1" max="1" width="9.140625" style="4"/>
    <col min="2" max="2" width="11.42578125" style="4" customWidth="1"/>
    <col min="3" max="3" width="27.7109375" style="5" bestFit="1" customWidth="1"/>
    <col min="4" max="4" width="12.140625" style="4" customWidth="1"/>
    <col min="5" max="5" width="12.7109375" style="4" customWidth="1"/>
    <col min="6" max="7" width="9.140625" style="18"/>
    <col min="8" max="8" width="18.85546875" style="18" customWidth="1"/>
    <col min="9" max="9" width="16.42578125" style="18" customWidth="1"/>
    <col min="10" max="16384" width="9.140625" style="18"/>
  </cols>
  <sheetData>
    <row r="1" spans="1:16" x14ac:dyDescent="0.2">
      <c r="A1" s="16" t="s">
        <v>4</v>
      </c>
      <c r="B1" s="16" t="s">
        <v>0</v>
      </c>
      <c r="C1" s="17" t="s">
        <v>1</v>
      </c>
      <c r="D1" s="17" t="s">
        <v>2</v>
      </c>
      <c r="E1" s="17" t="s">
        <v>3</v>
      </c>
    </row>
    <row r="2" spans="1:16" ht="15" x14ac:dyDescent="0.25">
      <c r="A2" s="4">
        <v>1</v>
      </c>
      <c r="B2" s="2">
        <v>45962</v>
      </c>
      <c r="D2" s="4">
        <v>1</v>
      </c>
      <c r="F2" s="18">
        <v>40</v>
      </c>
      <c r="G2" s="18">
        <v>40</v>
      </c>
    </row>
    <row r="3" spans="1:16" ht="15" x14ac:dyDescent="0.25">
      <c r="A3" s="4">
        <v>2</v>
      </c>
      <c r="B3" s="2">
        <v>45963</v>
      </c>
      <c r="D3" s="4">
        <v>1</v>
      </c>
      <c r="F3" s="18">
        <v>50</v>
      </c>
      <c r="G3" s="18">
        <v>50</v>
      </c>
    </row>
    <row r="4" spans="1:16" ht="15" x14ac:dyDescent="0.25">
      <c r="A4" s="4">
        <v>3</v>
      </c>
      <c r="B4" s="2">
        <v>45964</v>
      </c>
      <c r="F4" s="18">
        <v>55</v>
      </c>
      <c r="G4" s="18">
        <v>55</v>
      </c>
      <c r="H4" s="18" t="s">
        <v>67</v>
      </c>
      <c r="I4" s="43">
        <v>396139543396</v>
      </c>
      <c r="O4"/>
      <c r="P4"/>
    </row>
    <row r="5" spans="1:16" ht="15" x14ac:dyDescent="0.25">
      <c r="A5" s="4">
        <v>4</v>
      </c>
      <c r="B5" s="2">
        <v>45965</v>
      </c>
      <c r="F5" s="18">
        <v>40</v>
      </c>
      <c r="G5" s="18">
        <v>40</v>
      </c>
      <c r="O5"/>
      <c r="P5"/>
    </row>
    <row r="6" spans="1:16" ht="15" x14ac:dyDescent="0.25">
      <c r="A6" s="4">
        <v>5</v>
      </c>
      <c r="B6" s="2">
        <v>45966</v>
      </c>
      <c r="G6" s="18">
        <v>30</v>
      </c>
      <c r="H6" s="20"/>
      <c r="O6"/>
      <c r="P6"/>
    </row>
    <row r="7" spans="1:16" ht="15" x14ac:dyDescent="0.25">
      <c r="A7" s="4">
        <v>6</v>
      </c>
      <c r="B7" s="2">
        <v>45967</v>
      </c>
      <c r="G7" s="18">
        <v>70</v>
      </c>
      <c r="M7" s="18" t="s">
        <v>66</v>
      </c>
      <c r="N7" s="18">
        <v>15000</v>
      </c>
      <c r="O7">
        <v>1500</v>
      </c>
      <c r="P7"/>
    </row>
    <row r="8" spans="1:16" ht="15" x14ac:dyDescent="0.25">
      <c r="A8" s="4">
        <v>7</v>
      </c>
      <c r="B8" s="2">
        <v>45968</v>
      </c>
      <c r="F8" s="18">
        <v>30</v>
      </c>
      <c r="G8" s="18">
        <v>50</v>
      </c>
      <c r="M8" s="18">
        <v>2</v>
      </c>
      <c r="N8" s="18">
        <v>20000</v>
      </c>
      <c r="O8"/>
      <c r="P8"/>
    </row>
    <row r="9" spans="1:16" ht="15" x14ac:dyDescent="0.25">
      <c r="A9" s="4">
        <v>8</v>
      </c>
      <c r="B9" s="2">
        <v>45969</v>
      </c>
      <c r="F9" s="18">
        <v>70</v>
      </c>
      <c r="G9" s="18">
        <v>50</v>
      </c>
      <c r="J9" s="18">
        <v>440</v>
      </c>
      <c r="O9"/>
      <c r="P9"/>
    </row>
    <row r="10" spans="1:16" ht="15" x14ac:dyDescent="0.25">
      <c r="A10" s="4">
        <v>9</v>
      </c>
      <c r="B10" s="2">
        <v>45970</v>
      </c>
      <c r="F10" s="18">
        <v>50</v>
      </c>
      <c r="G10" s="18">
        <v>45</v>
      </c>
      <c r="J10" s="18">
        <v>250</v>
      </c>
      <c r="O10"/>
      <c r="P10"/>
    </row>
    <row r="11" spans="1:16" ht="15" x14ac:dyDescent="0.25">
      <c r="A11" s="4">
        <v>10</v>
      </c>
      <c r="B11" s="2">
        <v>45971</v>
      </c>
      <c r="F11" s="18">
        <v>95</v>
      </c>
      <c r="G11" s="18">
        <v>40</v>
      </c>
      <c r="O11"/>
      <c r="P11"/>
    </row>
    <row r="12" spans="1:16" ht="15" x14ac:dyDescent="0.25">
      <c r="A12" s="4">
        <v>11</v>
      </c>
      <c r="B12" s="2">
        <v>45972</v>
      </c>
      <c r="G12" s="18">
        <v>40</v>
      </c>
      <c r="L12" s="18">
        <v>49000</v>
      </c>
      <c r="O12"/>
      <c r="P12"/>
    </row>
    <row r="13" spans="1:16" ht="15" x14ac:dyDescent="0.25">
      <c r="A13" s="4">
        <v>12</v>
      </c>
      <c r="B13" s="2">
        <v>45973</v>
      </c>
      <c r="G13" s="18">
        <v>40</v>
      </c>
      <c r="H13" s="18">
        <v>9096408111</v>
      </c>
      <c r="L13" s="18">
        <v>46000</v>
      </c>
      <c r="O13"/>
      <c r="P13"/>
    </row>
    <row r="14" spans="1:16" ht="15" x14ac:dyDescent="0.25">
      <c r="A14" s="4">
        <v>13</v>
      </c>
      <c r="B14" s="2">
        <v>45974</v>
      </c>
      <c r="G14" s="18">
        <v>30</v>
      </c>
      <c r="H14" s="18" t="s">
        <v>40</v>
      </c>
      <c r="O14"/>
      <c r="P14"/>
    </row>
    <row r="15" spans="1:16" ht="15" x14ac:dyDescent="0.25">
      <c r="A15" s="4">
        <v>14</v>
      </c>
      <c r="B15" s="2">
        <v>45975</v>
      </c>
      <c r="C15" s="5" t="s">
        <v>45</v>
      </c>
      <c r="F15" s="18">
        <v>40</v>
      </c>
      <c r="G15" s="18">
        <v>40</v>
      </c>
      <c r="O15"/>
      <c r="P15"/>
    </row>
    <row r="16" spans="1:16" ht="15" x14ac:dyDescent="0.25">
      <c r="A16" s="4">
        <v>15</v>
      </c>
      <c r="B16" s="2">
        <v>45976</v>
      </c>
      <c r="F16" s="18">
        <v>40</v>
      </c>
      <c r="G16" s="18">
        <v>40</v>
      </c>
      <c r="O16"/>
      <c r="P16"/>
    </row>
    <row r="17" spans="1:16" ht="15" x14ac:dyDescent="0.25">
      <c r="A17" s="4">
        <v>16</v>
      </c>
      <c r="B17" s="2">
        <v>45977</v>
      </c>
      <c r="O17"/>
      <c r="P17"/>
    </row>
    <row r="18" spans="1:16" ht="15" x14ac:dyDescent="0.25">
      <c r="A18" s="4">
        <v>17</v>
      </c>
      <c r="B18" s="2">
        <v>45978</v>
      </c>
      <c r="C18" s="5" t="s">
        <v>57</v>
      </c>
      <c r="F18" s="18">
        <v>40</v>
      </c>
    </row>
    <row r="19" spans="1:16" ht="15" x14ac:dyDescent="0.25">
      <c r="A19" s="4">
        <v>18</v>
      </c>
      <c r="B19" s="2">
        <v>45979</v>
      </c>
      <c r="F19" s="18">
        <v>30</v>
      </c>
    </row>
    <row r="20" spans="1:16" ht="15" x14ac:dyDescent="0.25">
      <c r="A20" s="4">
        <v>19</v>
      </c>
      <c r="B20" s="2">
        <v>45980</v>
      </c>
      <c r="H20" s="18" t="s">
        <v>41</v>
      </c>
    </row>
    <row r="21" spans="1:16" ht="15" x14ac:dyDescent="0.25">
      <c r="A21" s="4">
        <v>20</v>
      </c>
      <c r="B21" s="2">
        <v>45981</v>
      </c>
    </row>
    <row r="22" spans="1:16" ht="15" x14ac:dyDescent="0.25">
      <c r="A22" s="4">
        <v>21</v>
      </c>
      <c r="B22" s="2">
        <v>45982</v>
      </c>
      <c r="F22" s="18">
        <v>40</v>
      </c>
    </row>
    <row r="23" spans="1:16" ht="15" x14ac:dyDescent="0.25">
      <c r="A23" s="4">
        <v>22</v>
      </c>
      <c r="B23" s="2">
        <v>45983</v>
      </c>
    </row>
    <row r="24" spans="1:16" x14ac:dyDescent="0.2">
      <c r="A24" s="23"/>
      <c r="B24" s="23"/>
      <c r="C24" s="24"/>
      <c r="D24" s="23"/>
      <c r="E24" s="23">
        <f>SUM(E2:E23)</f>
        <v>0</v>
      </c>
      <c r="F24" s="18">
        <f>SUM(F2:F23)</f>
        <v>620</v>
      </c>
      <c r="G24" s="18">
        <f>SUM(G2:G23)</f>
        <v>660</v>
      </c>
    </row>
    <row r="25" spans="1:16" x14ac:dyDescent="0.2">
      <c r="A25" s="23"/>
      <c r="B25" s="23"/>
      <c r="C25" s="24"/>
      <c r="D25" s="23"/>
      <c r="E25" s="23"/>
    </row>
    <row r="28" spans="1:16" s="26" customFormat="1" x14ac:dyDescent="0.2">
      <c r="J28" s="18"/>
      <c r="K28" s="18"/>
      <c r="L28" s="18"/>
      <c r="M28" s="18"/>
      <c r="N28" s="18"/>
      <c r="O28" s="18"/>
    </row>
    <row r="29" spans="1:16" x14ac:dyDescent="0.2">
      <c r="B29" s="26"/>
    </row>
    <row r="30" spans="1:16" x14ac:dyDescent="0.2">
      <c r="B30" s="19"/>
      <c r="G30" s="4"/>
    </row>
    <row r="31" spans="1:16" x14ac:dyDescent="0.2">
      <c r="B31" s="19"/>
      <c r="G31" s="4"/>
    </row>
    <row r="32" spans="1:16" x14ac:dyDescent="0.2">
      <c r="B32" s="19"/>
      <c r="G32" s="4"/>
      <c r="I32" s="18">
        <v>1.75</v>
      </c>
      <c r="J32" s="18">
        <f>I32*11</f>
        <v>19.25</v>
      </c>
    </row>
    <row r="33" spans="2:10" x14ac:dyDescent="0.2">
      <c r="B33" s="19"/>
      <c r="G33" s="4"/>
      <c r="J33" s="18">
        <f>J34*J32</f>
        <v>25025</v>
      </c>
    </row>
    <row r="34" spans="2:10" x14ac:dyDescent="0.2">
      <c r="B34" s="19"/>
      <c r="G34" s="4"/>
      <c r="J34" s="18">
        <v>1300</v>
      </c>
    </row>
    <row r="35" spans="2:10" x14ac:dyDescent="0.2">
      <c r="B35" s="21"/>
      <c r="G35" s="4"/>
    </row>
    <row r="36" spans="2:10" x14ac:dyDescent="0.2">
      <c r="B36" s="21"/>
      <c r="G36" s="4"/>
    </row>
    <row r="37" spans="2:10" x14ac:dyDescent="0.2">
      <c r="B37" s="21"/>
      <c r="G37" s="4"/>
      <c r="I37" s="18">
        <v>75000</v>
      </c>
      <c r="J37" s="18">
        <f>I37/30</f>
        <v>2500</v>
      </c>
    </row>
    <row r="38" spans="2:10" x14ac:dyDescent="0.2">
      <c r="B38" s="21"/>
      <c r="C38" s="22"/>
      <c r="G38" s="4"/>
      <c r="J38" s="18">
        <f>J37*5.4</f>
        <v>13500</v>
      </c>
    </row>
    <row r="39" spans="2:10" x14ac:dyDescent="0.2">
      <c r="B39" s="21"/>
      <c r="G39" s="4"/>
    </row>
    <row r="40" spans="2:10" x14ac:dyDescent="0.2">
      <c r="B40" s="21"/>
      <c r="G40" s="4"/>
    </row>
    <row r="41" spans="2:10" x14ac:dyDescent="0.2">
      <c r="B41" s="21"/>
      <c r="G41" s="4"/>
    </row>
    <row r="42" spans="2:10" x14ac:dyDescent="0.2">
      <c r="B42" s="21"/>
      <c r="G42" s="4"/>
    </row>
    <row r="43" spans="2:10" x14ac:dyDescent="0.2">
      <c r="B43" s="21"/>
      <c r="G43" s="4"/>
    </row>
    <row r="44" spans="2:10" x14ac:dyDescent="0.2">
      <c r="B44" s="21"/>
      <c r="G44" s="4"/>
    </row>
    <row r="45" spans="2:10" x14ac:dyDescent="0.2">
      <c r="B45" s="21"/>
      <c r="G45" s="4"/>
    </row>
    <row r="46" spans="2:10" x14ac:dyDescent="0.2">
      <c r="B46" s="21"/>
      <c r="G4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6D65-2BF8-467C-8ECB-D12FE3814AB4}">
  <dimension ref="A1:L32"/>
  <sheetViews>
    <sheetView workbookViewId="0">
      <selection activeCell="M14" sqref="M14"/>
    </sheetView>
  </sheetViews>
  <sheetFormatPr defaultRowHeight="15" x14ac:dyDescent="0.25"/>
  <cols>
    <col min="1" max="1" width="9.140625" style="9"/>
    <col min="2" max="2" width="11.85546875" style="11" customWidth="1"/>
    <col min="3" max="3" width="11.28515625" style="9" customWidth="1"/>
    <col min="4" max="4" width="9.140625" style="11"/>
    <col min="7" max="7" width="11.42578125" bestFit="1" customWidth="1"/>
    <col min="8" max="8" width="11.42578125" customWidth="1"/>
    <col min="12" max="12" width="26.140625" customWidth="1"/>
    <col min="13" max="13" width="27.5703125" customWidth="1"/>
  </cols>
  <sheetData>
    <row r="1" spans="1:12" x14ac:dyDescent="0.25">
      <c r="A1" s="12" t="s">
        <v>12</v>
      </c>
      <c r="B1" s="12" t="s">
        <v>0</v>
      </c>
      <c r="C1" s="12" t="s">
        <v>11</v>
      </c>
      <c r="D1" s="12" t="s">
        <v>13</v>
      </c>
      <c r="E1" s="25"/>
      <c r="F1" s="12" t="s">
        <v>12</v>
      </c>
      <c r="G1" s="27" t="s">
        <v>14</v>
      </c>
      <c r="H1" s="27" t="s">
        <v>2</v>
      </c>
      <c r="I1" s="12" t="s">
        <v>13</v>
      </c>
    </row>
    <row r="2" spans="1:12" x14ac:dyDescent="0.25">
      <c r="A2" s="6">
        <v>1</v>
      </c>
      <c r="B2" s="2">
        <v>45909</v>
      </c>
      <c r="C2" s="6">
        <v>1</v>
      </c>
      <c r="D2" s="1">
        <f>C2*60</f>
        <v>60</v>
      </c>
      <c r="F2" s="6">
        <v>1</v>
      </c>
      <c r="G2" s="28" t="s">
        <v>15</v>
      </c>
      <c r="H2" s="1"/>
      <c r="I2" s="6">
        <v>0</v>
      </c>
    </row>
    <row r="3" spans="1:12" x14ac:dyDescent="0.25">
      <c r="A3" s="6">
        <v>2</v>
      </c>
      <c r="B3" s="2">
        <v>45910</v>
      </c>
      <c r="C3" s="6">
        <v>0</v>
      </c>
      <c r="D3" s="1">
        <v>0</v>
      </c>
      <c r="F3" s="6">
        <v>2</v>
      </c>
      <c r="G3" s="28" t="s">
        <v>16</v>
      </c>
      <c r="H3" s="1"/>
      <c r="I3" s="6">
        <v>0</v>
      </c>
      <c r="K3" t="s">
        <v>42</v>
      </c>
      <c r="L3">
        <v>8338145537</v>
      </c>
    </row>
    <row r="4" spans="1:12" x14ac:dyDescent="0.25">
      <c r="A4" s="6">
        <v>3</v>
      </c>
      <c r="B4" s="2">
        <v>45911</v>
      </c>
      <c r="C4" s="6">
        <v>1</v>
      </c>
      <c r="D4" s="1">
        <f t="shared" ref="D4:D13" si="0">C4*60</f>
        <v>60</v>
      </c>
      <c r="F4" s="6">
        <v>3</v>
      </c>
      <c r="G4" s="28" t="s">
        <v>17</v>
      </c>
      <c r="H4" s="1"/>
      <c r="I4" s="6">
        <f t="shared" ref="I4:I8" si="1">H4*10</f>
        <v>0</v>
      </c>
      <c r="K4" t="s">
        <v>43</v>
      </c>
      <c r="L4">
        <v>8737650823</v>
      </c>
    </row>
    <row r="5" spans="1:12" x14ac:dyDescent="0.25">
      <c r="A5" s="6">
        <v>4</v>
      </c>
      <c r="B5" s="2">
        <v>45912</v>
      </c>
      <c r="C5" s="6">
        <v>0</v>
      </c>
      <c r="D5" s="1">
        <f>C5*60</f>
        <v>0</v>
      </c>
      <c r="F5" s="6">
        <v>4</v>
      </c>
      <c r="G5" s="28" t="s">
        <v>18</v>
      </c>
      <c r="H5" s="1"/>
      <c r="I5" s="6">
        <f t="shared" si="1"/>
        <v>0</v>
      </c>
    </row>
    <row r="6" spans="1:12" x14ac:dyDescent="0.25">
      <c r="A6" s="6">
        <v>5</v>
      </c>
      <c r="B6" s="2">
        <v>45913</v>
      </c>
      <c r="C6" s="6">
        <v>1</v>
      </c>
      <c r="D6" s="1">
        <f t="shared" si="0"/>
        <v>60</v>
      </c>
      <c r="F6" s="6">
        <v>5</v>
      </c>
      <c r="G6" s="28" t="s">
        <v>19</v>
      </c>
      <c r="H6" s="1"/>
      <c r="I6" s="6">
        <f t="shared" si="1"/>
        <v>0</v>
      </c>
    </row>
    <row r="7" spans="1:12" x14ac:dyDescent="0.25">
      <c r="A7" s="6">
        <v>6</v>
      </c>
      <c r="B7" s="2">
        <v>45914</v>
      </c>
      <c r="C7" s="6">
        <v>1</v>
      </c>
      <c r="D7" s="1">
        <f t="shared" si="0"/>
        <v>60</v>
      </c>
      <c r="F7" s="6">
        <v>6</v>
      </c>
      <c r="G7" s="28" t="s">
        <v>20</v>
      </c>
      <c r="H7" s="1"/>
      <c r="I7" s="6">
        <f t="shared" si="1"/>
        <v>0</v>
      </c>
      <c r="L7">
        <v>60254398559</v>
      </c>
    </row>
    <row r="8" spans="1:12" x14ac:dyDescent="0.25">
      <c r="A8" s="6">
        <v>7</v>
      </c>
      <c r="B8" s="2">
        <v>45915</v>
      </c>
      <c r="C8" s="6">
        <v>1</v>
      </c>
      <c r="D8" s="1">
        <f t="shared" si="0"/>
        <v>60</v>
      </c>
      <c r="F8" s="15"/>
      <c r="G8" s="12"/>
      <c r="H8" s="13"/>
      <c r="I8" s="13">
        <f t="shared" si="1"/>
        <v>0</v>
      </c>
      <c r="L8" t="s">
        <v>44</v>
      </c>
    </row>
    <row r="9" spans="1:12" x14ac:dyDescent="0.25">
      <c r="A9" s="6">
        <v>8</v>
      </c>
      <c r="B9" s="2">
        <v>45916</v>
      </c>
      <c r="C9" s="6">
        <v>0</v>
      </c>
      <c r="D9" s="1">
        <f>C9*60</f>
        <v>0</v>
      </c>
      <c r="L9">
        <v>489</v>
      </c>
    </row>
    <row r="10" spans="1:12" x14ac:dyDescent="0.25">
      <c r="A10" s="6">
        <v>9</v>
      </c>
      <c r="B10" s="2">
        <v>45917</v>
      </c>
      <c r="C10" s="6">
        <v>0</v>
      </c>
      <c r="D10" s="1">
        <f>C10*60</f>
        <v>0</v>
      </c>
      <c r="L10" s="35">
        <v>45867</v>
      </c>
    </row>
    <row r="11" spans="1:12" x14ac:dyDescent="0.25">
      <c r="A11" s="6">
        <v>10</v>
      </c>
      <c r="B11" s="2">
        <v>45918</v>
      </c>
      <c r="C11" s="6">
        <v>1</v>
      </c>
      <c r="D11" s="1">
        <f t="shared" si="0"/>
        <v>60</v>
      </c>
    </row>
    <row r="12" spans="1:12" x14ac:dyDescent="0.25">
      <c r="A12" s="6">
        <v>11</v>
      </c>
      <c r="B12" s="2">
        <v>45919</v>
      </c>
      <c r="C12" s="6">
        <v>1</v>
      </c>
      <c r="D12" s="1">
        <f t="shared" si="0"/>
        <v>60</v>
      </c>
    </row>
    <row r="13" spans="1:12" x14ac:dyDescent="0.25">
      <c r="A13" s="6">
        <v>12</v>
      </c>
      <c r="B13" s="2">
        <v>45920</v>
      </c>
      <c r="C13" s="6">
        <v>1</v>
      </c>
      <c r="D13" s="1">
        <f t="shared" si="0"/>
        <v>60</v>
      </c>
    </row>
    <row r="14" spans="1:12" x14ac:dyDescent="0.25">
      <c r="A14" s="6">
        <v>13</v>
      </c>
      <c r="B14" s="2">
        <v>45921</v>
      </c>
      <c r="C14" s="6"/>
      <c r="D14" s="1"/>
    </row>
    <row r="15" spans="1:12" x14ac:dyDescent="0.25">
      <c r="A15" s="6">
        <v>14</v>
      </c>
      <c r="B15" s="2">
        <v>45922</v>
      </c>
      <c r="C15" s="6"/>
      <c r="D15" s="1"/>
    </row>
    <row r="16" spans="1:12" x14ac:dyDescent="0.25">
      <c r="A16" s="6">
        <v>15</v>
      </c>
      <c r="B16" s="2">
        <v>45923</v>
      </c>
      <c r="C16" s="6">
        <v>1</v>
      </c>
      <c r="D16" s="1">
        <f>C16*60</f>
        <v>60</v>
      </c>
    </row>
    <row r="17" spans="1:4" x14ac:dyDescent="0.25">
      <c r="A17" s="6">
        <v>16</v>
      </c>
      <c r="B17" s="2">
        <v>45924</v>
      </c>
      <c r="C17" s="6">
        <v>1</v>
      </c>
      <c r="D17" s="1">
        <f t="shared" ref="D17:D27" si="2">C17*60</f>
        <v>60</v>
      </c>
    </row>
    <row r="18" spans="1:4" x14ac:dyDescent="0.25">
      <c r="A18" s="6">
        <v>17</v>
      </c>
      <c r="B18" s="2">
        <v>45925</v>
      </c>
      <c r="C18" s="6"/>
      <c r="D18" s="1">
        <f t="shared" si="2"/>
        <v>0</v>
      </c>
    </row>
    <row r="19" spans="1:4" x14ac:dyDescent="0.25">
      <c r="A19" s="6">
        <v>18</v>
      </c>
      <c r="B19" s="2">
        <v>45926</v>
      </c>
      <c r="C19" s="6"/>
      <c r="D19" s="1">
        <f t="shared" si="2"/>
        <v>0</v>
      </c>
    </row>
    <row r="20" spans="1:4" x14ac:dyDescent="0.25">
      <c r="A20" s="6">
        <v>19</v>
      </c>
      <c r="B20" s="1"/>
      <c r="C20" s="6"/>
      <c r="D20" s="1">
        <f t="shared" si="2"/>
        <v>0</v>
      </c>
    </row>
    <row r="21" spans="1:4" x14ac:dyDescent="0.25">
      <c r="A21" s="6">
        <v>20</v>
      </c>
      <c r="B21" s="1"/>
      <c r="C21" s="6"/>
      <c r="D21" s="1">
        <f t="shared" si="2"/>
        <v>0</v>
      </c>
    </row>
    <row r="22" spans="1:4" x14ac:dyDescent="0.25">
      <c r="A22" s="6">
        <v>21</v>
      </c>
      <c r="B22" s="1"/>
      <c r="C22" s="6"/>
      <c r="D22" s="1">
        <f t="shared" si="2"/>
        <v>0</v>
      </c>
    </row>
    <row r="23" spans="1:4" x14ac:dyDescent="0.25">
      <c r="A23" s="6">
        <v>22</v>
      </c>
      <c r="B23" s="1"/>
      <c r="C23" s="6"/>
      <c r="D23" s="1">
        <f t="shared" si="2"/>
        <v>0</v>
      </c>
    </row>
    <row r="24" spans="1:4" x14ac:dyDescent="0.25">
      <c r="A24" s="6">
        <v>23</v>
      </c>
      <c r="B24" s="1"/>
      <c r="C24" s="6"/>
      <c r="D24" s="1">
        <f t="shared" si="2"/>
        <v>0</v>
      </c>
    </row>
    <row r="25" spans="1:4" x14ac:dyDescent="0.25">
      <c r="A25" s="6">
        <v>24</v>
      </c>
      <c r="B25" s="1"/>
      <c r="C25" s="6"/>
      <c r="D25" s="1">
        <f t="shared" si="2"/>
        <v>0</v>
      </c>
    </row>
    <row r="26" spans="1:4" x14ac:dyDescent="0.25">
      <c r="A26" s="6">
        <v>25</v>
      </c>
      <c r="B26" s="1"/>
      <c r="C26" s="6"/>
      <c r="D26" s="1">
        <f t="shared" si="2"/>
        <v>0</v>
      </c>
    </row>
    <row r="27" spans="1:4" x14ac:dyDescent="0.25">
      <c r="A27" s="6">
        <v>26</v>
      </c>
      <c r="B27" s="1"/>
      <c r="C27" s="6"/>
      <c r="D27" s="1">
        <f t="shared" si="2"/>
        <v>0</v>
      </c>
    </row>
    <row r="28" spans="1:4" x14ac:dyDescent="0.25">
      <c r="A28" s="14"/>
      <c r="B28" s="15"/>
      <c r="C28" s="12">
        <f>SUM(C2:C27)</f>
        <v>10</v>
      </c>
      <c r="D28" s="13">
        <f>C28*60</f>
        <v>600</v>
      </c>
    </row>
    <row r="32" spans="1:4" x14ac:dyDescent="0.25">
      <c r="A32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9B65-75DE-441D-9764-537B6B88234F}">
  <dimension ref="A1:M26"/>
  <sheetViews>
    <sheetView workbookViewId="0">
      <selection activeCell="I15" sqref="I15"/>
    </sheetView>
  </sheetViews>
  <sheetFormatPr defaultRowHeight="15" x14ac:dyDescent="0.25"/>
  <cols>
    <col min="1" max="1" width="14.28515625" customWidth="1"/>
    <col min="2" max="2" width="14" customWidth="1"/>
    <col min="5" max="5" width="11.28515625" customWidth="1"/>
    <col min="6" max="6" width="11.5703125" customWidth="1"/>
    <col min="10" max="10" width="19.7109375" customWidth="1"/>
    <col min="11" max="11" width="12.42578125" customWidth="1"/>
    <col min="13" max="13" width="32.85546875" customWidth="1"/>
    <col min="14" max="14" width="17.140625" customWidth="1"/>
  </cols>
  <sheetData>
    <row r="1" spans="1:13" ht="15.75" thickBot="1" x14ac:dyDescent="0.3">
      <c r="A1" s="40" t="s">
        <v>0</v>
      </c>
      <c r="B1" s="40" t="s">
        <v>46</v>
      </c>
      <c r="C1" s="40" t="s">
        <v>13</v>
      </c>
      <c r="D1" s="40" t="s">
        <v>50</v>
      </c>
      <c r="E1" s="36" t="s">
        <v>5</v>
      </c>
      <c r="F1" s="36" t="s">
        <v>51</v>
      </c>
      <c r="G1" s="36" t="s">
        <v>52</v>
      </c>
    </row>
    <row r="2" spans="1:13" x14ac:dyDescent="0.25">
      <c r="A2" s="38">
        <v>45970</v>
      </c>
      <c r="B2" s="39" t="s">
        <v>47</v>
      </c>
      <c r="C2" s="41">
        <v>60</v>
      </c>
      <c r="D2" s="41">
        <v>3</v>
      </c>
      <c r="E2" s="1">
        <v>20</v>
      </c>
      <c r="F2" s="1">
        <v>20</v>
      </c>
      <c r="G2" s="1">
        <v>20</v>
      </c>
    </row>
    <row r="3" spans="1:13" x14ac:dyDescent="0.25">
      <c r="A3" s="28"/>
      <c r="B3" s="28" t="s">
        <v>53</v>
      </c>
      <c r="C3" s="1">
        <v>50</v>
      </c>
      <c r="D3" s="1">
        <v>2</v>
      </c>
      <c r="E3" s="1">
        <v>25</v>
      </c>
      <c r="F3" s="1">
        <v>25</v>
      </c>
      <c r="G3" s="1"/>
      <c r="I3" t="s">
        <v>64</v>
      </c>
      <c r="J3">
        <v>8642359170</v>
      </c>
      <c r="K3">
        <v>1231</v>
      </c>
      <c r="L3">
        <f>K3-K4</f>
        <v>347</v>
      </c>
    </row>
    <row r="4" spans="1:13" x14ac:dyDescent="0.25">
      <c r="A4" s="28"/>
      <c r="B4" s="28"/>
      <c r="C4" s="1"/>
      <c r="D4" s="1"/>
      <c r="E4" s="1"/>
      <c r="F4" s="1"/>
      <c r="G4" s="1"/>
      <c r="I4" t="s">
        <v>43</v>
      </c>
      <c r="J4">
        <v>8742359388</v>
      </c>
      <c r="K4">
        <v>884</v>
      </c>
    </row>
    <row r="5" spans="1:13" x14ac:dyDescent="0.25">
      <c r="A5" s="28"/>
      <c r="B5" s="28"/>
      <c r="C5" s="1"/>
      <c r="D5" s="1"/>
      <c r="E5" s="1"/>
      <c r="F5" s="1"/>
      <c r="G5" s="1"/>
      <c r="K5">
        <f>K4+K3</f>
        <v>2115</v>
      </c>
    </row>
    <row r="6" spans="1:13" x14ac:dyDescent="0.25">
      <c r="A6" s="28"/>
      <c r="B6" s="28"/>
      <c r="C6" s="1"/>
      <c r="D6" s="1"/>
      <c r="E6" s="1"/>
      <c r="F6" s="1"/>
      <c r="G6" s="1"/>
      <c r="K6">
        <f>13000-2115</f>
        <v>10885</v>
      </c>
    </row>
    <row r="7" spans="1:13" x14ac:dyDescent="0.25">
      <c r="A7" s="37">
        <v>45977</v>
      </c>
      <c r="B7" s="28" t="s">
        <v>47</v>
      </c>
      <c r="C7" s="1">
        <v>60</v>
      </c>
      <c r="D7" s="1">
        <v>2</v>
      </c>
      <c r="E7" s="1">
        <v>30</v>
      </c>
      <c r="F7" s="1">
        <v>30</v>
      </c>
      <c r="G7" s="1"/>
      <c r="M7" s="42">
        <v>6521550076915900</v>
      </c>
    </row>
    <row r="8" spans="1:13" x14ac:dyDescent="0.25">
      <c r="A8" s="28"/>
      <c r="B8" s="28" t="s">
        <v>48</v>
      </c>
      <c r="C8" s="1"/>
      <c r="D8" s="1"/>
      <c r="E8" s="1"/>
      <c r="F8" s="1"/>
      <c r="G8" s="1"/>
    </row>
    <row r="9" spans="1:13" x14ac:dyDescent="0.25">
      <c r="A9" s="28"/>
      <c r="B9" s="28" t="s">
        <v>49</v>
      </c>
      <c r="C9" s="1">
        <v>10</v>
      </c>
      <c r="D9" s="1"/>
      <c r="E9" s="1"/>
      <c r="F9" s="1"/>
      <c r="G9" s="1"/>
      <c r="K9">
        <v>150000</v>
      </c>
      <c r="M9">
        <v>7000</v>
      </c>
    </row>
    <row r="10" spans="1:13" x14ac:dyDescent="0.25">
      <c r="A10" s="28"/>
      <c r="B10" s="28" t="s">
        <v>58</v>
      </c>
      <c r="C10" s="1">
        <v>30</v>
      </c>
      <c r="D10" s="1">
        <v>2</v>
      </c>
      <c r="E10" s="1"/>
      <c r="F10" s="1"/>
      <c r="G10" s="1"/>
      <c r="K10">
        <f>K9/30</f>
        <v>5000</v>
      </c>
    </row>
    <row r="11" spans="1:13" x14ac:dyDescent="0.25">
      <c r="A11" s="28"/>
      <c r="B11" s="28" t="s">
        <v>59</v>
      </c>
      <c r="C11" s="1">
        <v>30</v>
      </c>
      <c r="D11" s="1"/>
      <c r="E11" s="1"/>
      <c r="F11" s="1">
        <v>30</v>
      </c>
      <c r="G11" s="1"/>
      <c r="K11">
        <f>K10*21</f>
        <v>105000</v>
      </c>
      <c r="M11">
        <f>K11-85000</f>
        <v>20000</v>
      </c>
    </row>
    <row r="12" spans="1:13" x14ac:dyDescent="0.25">
      <c r="A12" s="28"/>
      <c r="B12" s="28" t="s">
        <v>60</v>
      </c>
      <c r="C12" s="1">
        <v>30</v>
      </c>
      <c r="D12" s="1"/>
      <c r="E12" s="1">
        <v>15</v>
      </c>
      <c r="F12" s="1">
        <v>15</v>
      </c>
      <c r="G12" s="1"/>
    </row>
    <row r="13" spans="1:13" x14ac:dyDescent="0.25">
      <c r="A13" s="37">
        <v>45976</v>
      </c>
      <c r="B13" s="28" t="s">
        <v>62</v>
      </c>
      <c r="C13" s="1">
        <v>32</v>
      </c>
      <c r="D13" s="1"/>
      <c r="E13" s="1"/>
      <c r="F13" s="1"/>
      <c r="G13" s="1"/>
    </row>
    <row r="14" spans="1:13" x14ac:dyDescent="0.25">
      <c r="A14" s="28"/>
      <c r="B14" s="28" t="s">
        <v>61</v>
      </c>
      <c r="C14" s="1">
        <v>15</v>
      </c>
      <c r="D14" s="1"/>
      <c r="E14" s="1"/>
      <c r="F14" s="1"/>
      <c r="G14" s="1"/>
    </row>
    <row r="15" spans="1:13" x14ac:dyDescent="0.25">
      <c r="A15" s="28"/>
      <c r="B15" s="28" t="s">
        <v>63</v>
      </c>
      <c r="C15" s="1">
        <v>64</v>
      </c>
      <c r="D15" s="1"/>
      <c r="E15" s="1"/>
      <c r="F15" s="1"/>
      <c r="G15" s="1"/>
      <c r="M15">
        <v>2500</v>
      </c>
    </row>
    <row r="16" spans="1:13" x14ac:dyDescent="0.25">
      <c r="A16" s="28"/>
      <c r="B16" s="28" t="s">
        <v>48</v>
      </c>
      <c r="C16" s="1">
        <v>100</v>
      </c>
      <c r="D16" s="1"/>
      <c r="E16" s="1"/>
      <c r="F16" s="1"/>
      <c r="G16" s="1"/>
      <c r="J16">
        <v>7875980590</v>
      </c>
      <c r="M16">
        <v>5000</v>
      </c>
    </row>
    <row r="17" spans="1:7" x14ac:dyDescent="0.25">
      <c r="A17" s="28"/>
      <c r="B17" s="28"/>
      <c r="C17" s="1"/>
      <c r="D17" s="1"/>
      <c r="E17" s="1"/>
      <c r="F17" s="1"/>
      <c r="G17" s="1"/>
    </row>
    <row r="18" spans="1:7" x14ac:dyDescent="0.25">
      <c r="A18" s="28"/>
      <c r="B18" s="28"/>
      <c r="C18" s="1"/>
      <c r="D18" s="1"/>
      <c r="E18" s="1"/>
      <c r="F18" s="1"/>
      <c r="G18" s="1"/>
    </row>
    <row r="19" spans="1:7" x14ac:dyDescent="0.25">
      <c r="A19" s="28"/>
      <c r="B19" s="28"/>
      <c r="C19" s="1"/>
      <c r="D19" s="1"/>
      <c r="E19" s="1"/>
      <c r="F19" s="1"/>
      <c r="G19" s="1"/>
    </row>
    <row r="20" spans="1:7" x14ac:dyDescent="0.25">
      <c r="A20" s="28"/>
      <c r="B20" s="28"/>
      <c r="C20" s="1"/>
      <c r="D20" s="1"/>
      <c r="E20" s="1"/>
      <c r="F20" s="1"/>
      <c r="G20" s="1"/>
    </row>
    <row r="21" spans="1:7" x14ac:dyDescent="0.25">
      <c r="A21" s="28"/>
      <c r="B21" s="28"/>
      <c r="C21" s="1"/>
      <c r="D21" s="1"/>
      <c r="E21" s="1"/>
      <c r="F21" s="1"/>
      <c r="G21" s="1"/>
    </row>
    <row r="22" spans="1:7" x14ac:dyDescent="0.25">
      <c r="A22" s="28"/>
      <c r="B22" s="28"/>
      <c r="C22" s="1"/>
      <c r="D22" s="1"/>
      <c r="E22" s="1"/>
      <c r="F22" s="1"/>
      <c r="G22" s="1"/>
    </row>
    <row r="23" spans="1:7" x14ac:dyDescent="0.25">
      <c r="A23" s="28"/>
      <c r="B23" s="28"/>
      <c r="C23" s="1"/>
      <c r="D23" s="1"/>
      <c r="E23" s="1"/>
      <c r="F23" s="1"/>
      <c r="G23" s="1"/>
    </row>
    <row r="24" spans="1:7" x14ac:dyDescent="0.25">
      <c r="A24" s="28"/>
      <c r="B24" s="28"/>
      <c r="C24" s="1"/>
      <c r="D24" s="1"/>
      <c r="E24" s="1"/>
      <c r="F24" s="1"/>
      <c r="G24" s="1"/>
    </row>
    <row r="25" spans="1:7" x14ac:dyDescent="0.25">
      <c r="A25" s="28"/>
      <c r="B25" s="28"/>
      <c r="C25" s="28"/>
      <c r="D25" s="28"/>
      <c r="E25" s="28"/>
      <c r="F25" s="28"/>
      <c r="G25" s="28"/>
    </row>
    <row r="26" spans="1:7" x14ac:dyDescent="0.25">
      <c r="A26" s="28"/>
      <c r="B26" s="28"/>
      <c r="C26" s="28"/>
      <c r="D26" s="28"/>
      <c r="E26" s="28"/>
      <c r="F26" s="28"/>
      <c r="G26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7604-03E2-4B44-BA9D-6CB7688EB6BE}">
  <dimension ref="D1:Q805"/>
  <sheetViews>
    <sheetView topLeftCell="A28" workbookViewId="0">
      <selection activeCell="L37" sqref="L37"/>
    </sheetView>
  </sheetViews>
  <sheetFormatPr defaultColWidth="8.5703125" defaultRowHeight="15" x14ac:dyDescent="0.25"/>
  <cols>
    <col min="8" max="8" width="21" customWidth="1"/>
    <col min="9" max="9" width="17" customWidth="1"/>
    <col min="10" max="10" width="14.7109375" customWidth="1"/>
  </cols>
  <sheetData>
    <row r="1" spans="4:17" x14ac:dyDescent="0.25">
      <c r="D1">
        <v>5</v>
      </c>
      <c r="H1" s="7">
        <v>33593</v>
      </c>
      <c r="J1">
        <v>5500</v>
      </c>
    </row>
    <row r="2" spans="4:17" x14ac:dyDescent="0.25">
      <c r="D2">
        <v>0</v>
      </c>
      <c r="J2">
        <v>300</v>
      </c>
    </row>
    <row r="3" spans="4:17" x14ac:dyDescent="0.25">
      <c r="D3">
        <v>5</v>
      </c>
      <c r="J3">
        <v>200</v>
      </c>
      <c r="N3">
        <v>25000</v>
      </c>
      <c r="O3">
        <f>N3/6</f>
        <v>4166.666666666667</v>
      </c>
      <c r="Q3">
        <v>25000</v>
      </c>
    </row>
    <row r="4" spans="4:17" x14ac:dyDescent="0.25">
      <c r="D4">
        <v>0</v>
      </c>
      <c r="J4">
        <f>150*30</f>
        <v>4500</v>
      </c>
    </row>
    <row r="5" spans="4:17" x14ac:dyDescent="0.25">
      <c r="D5">
        <v>0</v>
      </c>
      <c r="J5">
        <v>1600</v>
      </c>
      <c r="P5">
        <f>2500/6</f>
        <v>416.66666666666669</v>
      </c>
    </row>
    <row r="6" spans="4:17" x14ac:dyDescent="0.25">
      <c r="D6">
        <v>0</v>
      </c>
      <c r="I6" s="3"/>
      <c r="J6">
        <v>700</v>
      </c>
    </row>
    <row r="7" spans="4:17" x14ac:dyDescent="0.25">
      <c r="D7">
        <v>0</v>
      </c>
      <c r="I7" s="3"/>
    </row>
    <row r="8" spans="4:17" x14ac:dyDescent="0.25">
      <c r="D8">
        <v>5</v>
      </c>
      <c r="I8" s="3"/>
    </row>
    <row r="9" spans="4:17" x14ac:dyDescent="0.25">
      <c r="D9">
        <v>0</v>
      </c>
      <c r="I9" s="3"/>
    </row>
    <row r="10" spans="4:17" x14ac:dyDescent="0.25">
      <c r="D10">
        <v>5</v>
      </c>
      <c r="I10" s="8">
        <f>H1-J10</f>
        <v>20793</v>
      </c>
      <c r="J10">
        <f>SUM(J1:J9)</f>
        <v>12800</v>
      </c>
      <c r="N10">
        <v>998</v>
      </c>
      <c r="Q10">
        <v>52000</v>
      </c>
    </row>
    <row r="11" spans="4:17" x14ac:dyDescent="0.25">
      <c r="D11">
        <v>0</v>
      </c>
      <c r="I11" s="8"/>
      <c r="M11">
        <v>91365</v>
      </c>
      <c r="N11" t="s">
        <v>6</v>
      </c>
      <c r="Q11">
        <v>99000</v>
      </c>
    </row>
    <row r="12" spans="4:17" x14ac:dyDescent="0.25">
      <c r="D12">
        <v>0</v>
      </c>
      <c r="I12" s="3"/>
      <c r="L12">
        <v>99350</v>
      </c>
      <c r="M12">
        <f>N12/24</f>
        <v>91070.833333333328</v>
      </c>
      <c r="N12">
        <f>L12*M13</f>
        <v>2185700</v>
      </c>
    </row>
    <row r="13" spans="4:17" x14ac:dyDescent="0.25">
      <c r="D13">
        <v>0</v>
      </c>
      <c r="G13">
        <v>39000</v>
      </c>
      <c r="H13">
        <f>G13/30</f>
        <v>1300</v>
      </c>
      <c r="I13" s="8">
        <f>H13*21</f>
        <v>27300</v>
      </c>
      <c r="L13">
        <v>24</v>
      </c>
      <c r="M13">
        <v>22</v>
      </c>
    </row>
    <row r="14" spans="4:17" x14ac:dyDescent="0.25">
      <c r="D14">
        <v>0</v>
      </c>
      <c r="G14">
        <v>58386</v>
      </c>
      <c r="H14">
        <f>G14/30</f>
        <v>1946.2</v>
      </c>
      <c r="I14" s="8">
        <f>H14*21</f>
        <v>40870.200000000004</v>
      </c>
    </row>
    <row r="15" spans="4:17" x14ac:dyDescent="0.25">
      <c r="D15">
        <v>5</v>
      </c>
      <c r="G15">
        <v>156800</v>
      </c>
      <c r="H15">
        <f>G15/30</f>
        <v>5226.666666666667</v>
      </c>
      <c r="I15" s="8">
        <f>H15*21</f>
        <v>109760</v>
      </c>
      <c r="M15">
        <f>22/0.24</f>
        <v>91.666666666666671</v>
      </c>
    </row>
    <row r="16" spans="4:17" x14ac:dyDescent="0.25">
      <c r="D16">
        <v>5</v>
      </c>
      <c r="G16">
        <f>SUM(G13:G15)</f>
        <v>254186</v>
      </c>
      <c r="H16">
        <f>G16*12</f>
        <v>3050232</v>
      </c>
      <c r="I16" s="8">
        <f>SUM(I13:I15)</f>
        <v>177930.2</v>
      </c>
    </row>
    <row r="17" spans="4:13" x14ac:dyDescent="0.25">
      <c r="D17">
        <v>0</v>
      </c>
      <c r="H17" s="8">
        <f>H16+I16</f>
        <v>3228162.2</v>
      </c>
      <c r="I17" s="3"/>
    </row>
    <row r="18" spans="4:13" x14ac:dyDescent="0.25">
      <c r="D18">
        <v>5</v>
      </c>
      <c r="I18" s="3"/>
    </row>
    <row r="19" spans="4:13" x14ac:dyDescent="0.25">
      <c r="D19">
        <v>0</v>
      </c>
      <c r="I19" s="3"/>
      <c r="L19">
        <v>22460</v>
      </c>
    </row>
    <row r="20" spans="4:13" x14ac:dyDescent="0.25">
      <c r="D20">
        <v>0</v>
      </c>
      <c r="I20" s="3"/>
      <c r="L20">
        <f>L19/100</f>
        <v>224.6</v>
      </c>
    </row>
    <row r="21" spans="4:13" x14ac:dyDescent="0.25">
      <c r="I21" s="8">
        <v>12908</v>
      </c>
      <c r="K21" t="s">
        <v>7</v>
      </c>
      <c r="L21">
        <f>L20*51</f>
        <v>11454.6</v>
      </c>
    </row>
    <row r="22" spans="4:13" x14ac:dyDescent="0.25">
      <c r="I22" s="8">
        <v>21736</v>
      </c>
      <c r="L22">
        <f>L21/100</f>
        <v>114.54600000000001</v>
      </c>
      <c r="M22">
        <f>L19-L21</f>
        <v>11005.4</v>
      </c>
    </row>
    <row r="23" spans="4:13" ht="23.25" x14ac:dyDescent="0.35">
      <c r="I23" s="10">
        <v>31976</v>
      </c>
      <c r="K23" t="s">
        <v>8</v>
      </c>
      <c r="L23">
        <f>L22*12</f>
        <v>1374.5520000000001</v>
      </c>
    </row>
    <row r="24" spans="4:13" x14ac:dyDescent="0.25">
      <c r="I24" s="8">
        <f>SUM(I21:I23)</f>
        <v>66620</v>
      </c>
      <c r="K24" t="s">
        <v>9</v>
      </c>
      <c r="L24">
        <f>L20*1.75</f>
        <v>393.05</v>
      </c>
    </row>
    <row r="25" spans="4:13" x14ac:dyDescent="0.25">
      <c r="I25" s="3"/>
      <c r="K25" t="s">
        <v>10</v>
      </c>
      <c r="L25">
        <v>200</v>
      </c>
    </row>
    <row r="26" spans="4:13" x14ac:dyDescent="0.25">
      <c r="I26" s="3"/>
    </row>
    <row r="27" spans="4:13" x14ac:dyDescent="0.25">
      <c r="I27" s="3"/>
    </row>
    <row r="28" spans="4:13" x14ac:dyDescent="0.25">
      <c r="I28" s="3"/>
    </row>
    <row r="29" spans="4:13" x14ac:dyDescent="0.25">
      <c r="I29" s="3"/>
    </row>
    <row r="30" spans="4:13" x14ac:dyDescent="0.25">
      <c r="I30" s="3"/>
    </row>
    <row r="31" spans="4:13" x14ac:dyDescent="0.25">
      <c r="I31" s="3"/>
    </row>
    <row r="32" spans="4:13" x14ac:dyDescent="0.25">
      <c r="I32" s="3"/>
    </row>
    <row r="33" spans="9:9" x14ac:dyDescent="0.25">
      <c r="I33" s="3"/>
    </row>
    <row r="34" spans="9:9" x14ac:dyDescent="0.25">
      <c r="I34" s="3"/>
    </row>
    <row r="35" spans="9:9" x14ac:dyDescent="0.25">
      <c r="I35" s="3"/>
    </row>
    <row r="36" spans="9:9" x14ac:dyDescent="0.25">
      <c r="I36" s="3"/>
    </row>
    <row r="37" spans="9:9" x14ac:dyDescent="0.25">
      <c r="I37" s="3"/>
    </row>
    <row r="38" spans="9:9" x14ac:dyDescent="0.25">
      <c r="I38" s="3"/>
    </row>
    <row r="39" spans="9:9" x14ac:dyDescent="0.25">
      <c r="I39" s="3"/>
    </row>
    <row r="40" spans="9:9" x14ac:dyDescent="0.25">
      <c r="I40" s="3"/>
    </row>
    <row r="41" spans="9:9" x14ac:dyDescent="0.25">
      <c r="I41" s="3"/>
    </row>
    <row r="42" spans="9:9" x14ac:dyDescent="0.25">
      <c r="I42" s="3"/>
    </row>
    <row r="43" spans="9:9" x14ac:dyDescent="0.25">
      <c r="I43" s="3"/>
    </row>
    <row r="44" spans="9:9" x14ac:dyDescent="0.25">
      <c r="I44" s="3"/>
    </row>
    <row r="45" spans="9:9" x14ac:dyDescent="0.25">
      <c r="I45" s="3"/>
    </row>
    <row r="46" spans="9:9" x14ac:dyDescent="0.25">
      <c r="I46" s="3"/>
    </row>
    <row r="47" spans="9:9" x14ac:dyDescent="0.25">
      <c r="I47" s="3"/>
    </row>
    <row r="48" spans="9:9" x14ac:dyDescent="0.25">
      <c r="I48" s="3"/>
    </row>
    <row r="49" spans="9:9" x14ac:dyDescent="0.25">
      <c r="I49" s="3"/>
    </row>
    <row r="50" spans="9:9" x14ac:dyDescent="0.25">
      <c r="I50" s="3"/>
    </row>
    <row r="51" spans="9:9" x14ac:dyDescent="0.25">
      <c r="I51" s="3"/>
    </row>
    <row r="52" spans="9:9" x14ac:dyDescent="0.25">
      <c r="I52" s="3"/>
    </row>
    <row r="53" spans="9:9" x14ac:dyDescent="0.25">
      <c r="I53" s="3"/>
    </row>
    <row r="54" spans="9:9" x14ac:dyDescent="0.25">
      <c r="I54" s="3"/>
    </row>
    <row r="55" spans="9:9" x14ac:dyDescent="0.25">
      <c r="I55" s="3"/>
    </row>
    <row r="56" spans="9:9" x14ac:dyDescent="0.25">
      <c r="I56" s="3"/>
    </row>
    <row r="57" spans="9:9" x14ac:dyDescent="0.25">
      <c r="I57" s="3"/>
    </row>
    <row r="58" spans="9:9" x14ac:dyDescent="0.25">
      <c r="I58" s="3"/>
    </row>
    <row r="59" spans="9:9" x14ac:dyDescent="0.25">
      <c r="I59" s="3"/>
    </row>
    <row r="60" spans="9:9" x14ac:dyDescent="0.25">
      <c r="I60" s="3"/>
    </row>
    <row r="61" spans="9:9" x14ac:dyDescent="0.25">
      <c r="I61" s="3"/>
    </row>
    <row r="62" spans="9:9" x14ac:dyDescent="0.25">
      <c r="I62" s="3"/>
    </row>
    <row r="63" spans="9:9" x14ac:dyDescent="0.25">
      <c r="I63" s="3"/>
    </row>
    <row r="64" spans="9:9" x14ac:dyDescent="0.25">
      <c r="I64" s="3"/>
    </row>
    <row r="65" spans="9:9" x14ac:dyDescent="0.25">
      <c r="I65" s="3"/>
    </row>
    <row r="66" spans="9:9" x14ac:dyDescent="0.25">
      <c r="I66" s="3"/>
    </row>
    <row r="67" spans="9:9" x14ac:dyDescent="0.25">
      <c r="I67" s="3"/>
    </row>
    <row r="68" spans="9:9" x14ac:dyDescent="0.25">
      <c r="I68" s="3"/>
    </row>
    <row r="69" spans="9:9" x14ac:dyDescent="0.25">
      <c r="I69" s="3"/>
    </row>
    <row r="70" spans="9:9" x14ac:dyDescent="0.25">
      <c r="I70" s="3"/>
    </row>
    <row r="71" spans="9:9" x14ac:dyDescent="0.25">
      <c r="I71" s="3"/>
    </row>
    <row r="72" spans="9:9" x14ac:dyDescent="0.25">
      <c r="I72" s="3"/>
    </row>
    <row r="73" spans="9:9" x14ac:dyDescent="0.25">
      <c r="I73" s="3"/>
    </row>
    <row r="74" spans="9:9" x14ac:dyDescent="0.25">
      <c r="I74" s="3"/>
    </row>
    <row r="75" spans="9:9" x14ac:dyDescent="0.25">
      <c r="I75" s="3"/>
    </row>
    <row r="76" spans="9:9" x14ac:dyDescent="0.25">
      <c r="I76" s="3"/>
    </row>
    <row r="77" spans="9:9" x14ac:dyDescent="0.25">
      <c r="I77" s="3"/>
    </row>
    <row r="78" spans="9:9" x14ac:dyDescent="0.25">
      <c r="I78" s="3"/>
    </row>
    <row r="79" spans="9:9" x14ac:dyDescent="0.25">
      <c r="I79" s="3"/>
    </row>
    <row r="80" spans="9:9" x14ac:dyDescent="0.25">
      <c r="I80" s="3"/>
    </row>
    <row r="81" spans="9:9" x14ac:dyDescent="0.25">
      <c r="I81" s="3"/>
    </row>
    <row r="82" spans="9:9" x14ac:dyDescent="0.25">
      <c r="I82" s="3"/>
    </row>
    <row r="83" spans="9:9" x14ac:dyDescent="0.25">
      <c r="I83" s="3"/>
    </row>
    <row r="84" spans="9:9" x14ac:dyDescent="0.25">
      <c r="I84" s="3"/>
    </row>
    <row r="85" spans="9:9" x14ac:dyDescent="0.25">
      <c r="I85" s="3"/>
    </row>
    <row r="86" spans="9:9" x14ac:dyDescent="0.25">
      <c r="I86" s="3"/>
    </row>
    <row r="87" spans="9:9" x14ac:dyDescent="0.25">
      <c r="I87" s="3"/>
    </row>
    <row r="88" spans="9:9" x14ac:dyDescent="0.25">
      <c r="I88" s="3"/>
    </row>
    <row r="89" spans="9:9" x14ac:dyDescent="0.25">
      <c r="I89" s="3"/>
    </row>
    <row r="90" spans="9:9" x14ac:dyDescent="0.25">
      <c r="I90" s="3"/>
    </row>
    <row r="91" spans="9:9" x14ac:dyDescent="0.25">
      <c r="I91" s="3"/>
    </row>
    <row r="92" spans="9:9" x14ac:dyDescent="0.25">
      <c r="I92" s="3"/>
    </row>
    <row r="93" spans="9:9" x14ac:dyDescent="0.25">
      <c r="I93" s="3"/>
    </row>
    <row r="94" spans="9:9" x14ac:dyDescent="0.25">
      <c r="I94" s="3"/>
    </row>
    <row r="95" spans="9:9" x14ac:dyDescent="0.25">
      <c r="I95" s="3"/>
    </row>
    <row r="96" spans="9:9" x14ac:dyDescent="0.25">
      <c r="I96" s="3"/>
    </row>
    <row r="97" spans="9:9" x14ac:dyDescent="0.25">
      <c r="I97" s="3"/>
    </row>
    <row r="98" spans="9:9" x14ac:dyDescent="0.25">
      <c r="I98" s="3"/>
    </row>
    <row r="99" spans="9:9" x14ac:dyDescent="0.25">
      <c r="I99" s="3"/>
    </row>
    <row r="100" spans="9:9" x14ac:dyDescent="0.25">
      <c r="I100" s="3"/>
    </row>
    <row r="101" spans="9:9" x14ac:dyDescent="0.25">
      <c r="I101" s="3"/>
    </row>
    <row r="102" spans="9:9" x14ac:dyDescent="0.25">
      <c r="I102" s="3"/>
    </row>
    <row r="103" spans="9:9" x14ac:dyDescent="0.25">
      <c r="I103" s="3"/>
    </row>
    <row r="104" spans="9:9" x14ac:dyDescent="0.25">
      <c r="I104" s="3"/>
    </row>
    <row r="105" spans="9:9" x14ac:dyDescent="0.25">
      <c r="I105" s="3"/>
    </row>
    <row r="106" spans="9:9" x14ac:dyDescent="0.25">
      <c r="I106" s="3"/>
    </row>
    <row r="107" spans="9:9" x14ac:dyDescent="0.25">
      <c r="I107" s="3"/>
    </row>
    <row r="108" spans="9:9" x14ac:dyDescent="0.25">
      <c r="I108" s="3"/>
    </row>
    <row r="109" spans="9:9" x14ac:dyDescent="0.25">
      <c r="I109" s="3"/>
    </row>
    <row r="110" spans="9:9" x14ac:dyDescent="0.25">
      <c r="I110" s="3"/>
    </row>
    <row r="111" spans="9:9" x14ac:dyDescent="0.25">
      <c r="I111" s="3"/>
    </row>
    <row r="112" spans="9:9" x14ac:dyDescent="0.25">
      <c r="I112" s="3"/>
    </row>
    <row r="113" spans="9:9" x14ac:dyDescent="0.25">
      <c r="I113" s="3"/>
    </row>
    <row r="114" spans="9:9" x14ac:dyDescent="0.25">
      <c r="I114" s="3"/>
    </row>
    <row r="115" spans="9:9" x14ac:dyDescent="0.25">
      <c r="I115" s="3"/>
    </row>
    <row r="116" spans="9:9" x14ac:dyDescent="0.25">
      <c r="I116" s="3"/>
    </row>
    <row r="117" spans="9:9" x14ac:dyDescent="0.25">
      <c r="I117" s="3"/>
    </row>
    <row r="118" spans="9:9" x14ac:dyDescent="0.25">
      <c r="I118" s="3"/>
    </row>
    <row r="119" spans="9:9" x14ac:dyDescent="0.25">
      <c r="I119" s="3"/>
    </row>
    <row r="120" spans="9:9" x14ac:dyDescent="0.25">
      <c r="I120" s="3"/>
    </row>
    <row r="121" spans="9:9" x14ac:dyDescent="0.25">
      <c r="I121" s="3"/>
    </row>
    <row r="122" spans="9:9" x14ac:dyDescent="0.25">
      <c r="I122" s="3"/>
    </row>
    <row r="123" spans="9:9" x14ac:dyDescent="0.25">
      <c r="I123" s="3"/>
    </row>
    <row r="124" spans="9:9" x14ac:dyDescent="0.25">
      <c r="I124" s="3"/>
    </row>
    <row r="125" spans="9:9" x14ac:dyDescent="0.25">
      <c r="I125" s="3"/>
    </row>
    <row r="126" spans="9:9" x14ac:dyDescent="0.25">
      <c r="I126" s="3"/>
    </row>
    <row r="127" spans="9:9" x14ac:dyDescent="0.25">
      <c r="I127" s="3"/>
    </row>
    <row r="128" spans="9:9" x14ac:dyDescent="0.25">
      <c r="I128" s="3"/>
    </row>
    <row r="129" spans="9:9" x14ac:dyDescent="0.25">
      <c r="I129" s="3"/>
    </row>
    <row r="130" spans="9:9" x14ac:dyDescent="0.25">
      <c r="I130" s="3"/>
    </row>
    <row r="131" spans="9:9" x14ac:dyDescent="0.25">
      <c r="I131" s="3"/>
    </row>
    <row r="132" spans="9:9" x14ac:dyDescent="0.25">
      <c r="I132" s="3"/>
    </row>
    <row r="133" spans="9:9" x14ac:dyDescent="0.25">
      <c r="I133" s="3"/>
    </row>
    <row r="134" spans="9:9" x14ac:dyDescent="0.25">
      <c r="I134" s="3"/>
    </row>
    <row r="135" spans="9:9" x14ac:dyDescent="0.25">
      <c r="I135" s="3"/>
    </row>
    <row r="136" spans="9:9" x14ac:dyDescent="0.25">
      <c r="I136" s="3"/>
    </row>
    <row r="137" spans="9:9" x14ac:dyDescent="0.25">
      <c r="I137" s="3"/>
    </row>
    <row r="138" spans="9:9" x14ac:dyDescent="0.25">
      <c r="I138" s="3"/>
    </row>
    <row r="139" spans="9:9" x14ac:dyDescent="0.25">
      <c r="I139" s="3"/>
    </row>
    <row r="140" spans="9:9" x14ac:dyDescent="0.25">
      <c r="I140" s="3"/>
    </row>
    <row r="141" spans="9:9" x14ac:dyDescent="0.25">
      <c r="I141" s="3"/>
    </row>
    <row r="142" spans="9:9" x14ac:dyDescent="0.25">
      <c r="I142" s="3"/>
    </row>
    <row r="143" spans="9:9" x14ac:dyDescent="0.25">
      <c r="I143" s="3"/>
    </row>
    <row r="144" spans="9:9" x14ac:dyDescent="0.25">
      <c r="I144" s="3"/>
    </row>
    <row r="145" spans="9:9" x14ac:dyDescent="0.25">
      <c r="I145" s="3"/>
    </row>
    <row r="146" spans="9:9" x14ac:dyDescent="0.25">
      <c r="I146" s="3"/>
    </row>
    <row r="147" spans="9:9" x14ac:dyDescent="0.25">
      <c r="I147" s="3"/>
    </row>
    <row r="148" spans="9:9" x14ac:dyDescent="0.25">
      <c r="I148" s="3"/>
    </row>
    <row r="149" spans="9:9" x14ac:dyDescent="0.25">
      <c r="I149" s="3"/>
    </row>
    <row r="150" spans="9:9" x14ac:dyDescent="0.25">
      <c r="I150" s="3"/>
    </row>
    <row r="151" spans="9:9" x14ac:dyDescent="0.25">
      <c r="I151" s="3"/>
    </row>
    <row r="152" spans="9:9" x14ac:dyDescent="0.25">
      <c r="I152" s="3"/>
    </row>
    <row r="153" spans="9:9" x14ac:dyDescent="0.25">
      <c r="I153" s="3"/>
    </row>
    <row r="154" spans="9:9" x14ac:dyDescent="0.25">
      <c r="I154" s="3"/>
    </row>
    <row r="155" spans="9:9" x14ac:dyDescent="0.25">
      <c r="I155" s="3"/>
    </row>
    <row r="156" spans="9:9" x14ac:dyDescent="0.25">
      <c r="I156" s="3"/>
    </row>
    <row r="157" spans="9:9" x14ac:dyDescent="0.25">
      <c r="I157" s="3"/>
    </row>
    <row r="158" spans="9:9" x14ac:dyDescent="0.25">
      <c r="I158" s="3"/>
    </row>
    <row r="159" spans="9:9" x14ac:dyDescent="0.25">
      <c r="I159" s="3"/>
    </row>
    <row r="160" spans="9:9" x14ac:dyDescent="0.25">
      <c r="I160" s="3"/>
    </row>
    <row r="161" spans="9:9" x14ac:dyDescent="0.25">
      <c r="I161" s="3"/>
    </row>
    <row r="162" spans="9:9" x14ac:dyDescent="0.25">
      <c r="I162" s="3"/>
    </row>
    <row r="163" spans="9:9" x14ac:dyDescent="0.25">
      <c r="I163" s="3"/>
    </row>
    <row r="164" spans="9:9" x14ac:dyDescent="0.25">
      <c r="I164" s="3"/>
    </row>
    <row r="165" spans="9:9" x14ac:dyDescent="0.25">
      <c r="I165" s="3"/>
    </row>
    <row r="166" spans="9:9" x14ac:dyDescent="0.25">
      <c r="I166" s="3"/>
    </row>
    <row r="167" spans="9:9" x14ac:dyDescent="0.25">
      <c r="I167" s="3"/>
    </row>
    <row r="168" spans="9:9" x14ac:dyDescent="0.25">
      <c r="I168" s="3"/>
    </row>
    <row r="169" spans="9:9" x14ac:dyDescent="0.25">
      <c r="I169" s="3"/>
    </row>
    <row r="170" spans="9:9" x14ac:dyDescent="0.25">
      <c r="I170" s="3"/>
    </row>
    <row r="171" spans="9:9" x14ac:dyDescent="0.25">
      <c r="I171" s="3"/>
    </row>
    <row r="172" spans="9:9" x14ac:dyDescent="0.25">
      <c r="I172" s="3"/>
    </row>
    <row r="173" spans="9:9" x14ac:dyDescent="0.25">
      <c r="I173" s="3"/>
    </row>
    <row r="174" spans="9:9" x14ac:dyDescent="0.25">
      <c r="I174" s="3"/>
    </row>
    <row r="175" spans="9:9" x14ac:dyDescent="0.25">
      <c r="I175" s="3"/>
    </row>
    <row r="176" spans="9:9" x14ac:dyDescent="0.25">
      <c r="I176" s="3"/>
    </row>
    <row r="177" spans="9:9" x14ac:dyDescent="0.25">
      <c r="I177" s="3"/>
    </row>
    <row r="178" spans="9:9" x14ac:dyDescent="0.25">
      <c r="I178" s="3"/>
    </row>
    <row r="179" spans="9:9" x14ac:dyDescent="0.25">
      <c r="I179" s="3"/>
    </row>
    <row r="180" spans="9:9" x14ac:dyDescent="0.25">
      <c r="I180" s="3"/>
    </row>
    <row r="181" spans="9:9" x14ac:dyDescent="0.25">
      <c r="I181" s="3"/>
    </row>
    <row r="182" spans="9:9" x14ac:dyDescent="0.25">
      <c r="I182" s="3"/>
    </row>
    <row r="183" spans="9:9" x14ac:dyDescent="0.25">
      <c r="I183" s="3"/>
    </row>
    <row r="184" spans="9:9" x14ac:dyDescent="0.25">
      <c r="I184" s="3"/>
    </row>
    <row r="185" spans="9:9" x14ac:dyDescent="0.25">
      <c r="I185" s="3"/>
    </row>
    <row r="186" spans="9:9" x14ac:dyDescent="0.25">
      <c r="I186" s="3"/>
    </row>
    <row r="187" spans="9:9" x14ac:dyDescent="0.25">
      <c r="I187" s="3"/>
    </row>
    <row r="188" spans="9:9" x14ac:dyDescent="0.25">
      <c r="I188" s="3"/>
    </row>
    <row r="189" spans="9:9" x14ac:dyDescent="0.25">
      <c r="I189" s="3"/>
    </row>
    <row r="190" spans="9:9" x14ac:dyDescent="0.25">
      <c r="I190" s="3"/>
    </row>
    <row r="191" spans="9:9" x14ac:dyDescent="0.25">
      <c r="I191" s="3"/>
    </row>
    <row r="192" spans="9:9" x14ac:dyDescent="0.25">
      <c r="I192" s="3"/>
    </row>
    <row r="193" spans="9:9" x14ac:dyDescent="0.25">
      <c r="I193" s="3"/>
    </row>
    <row r="194" spans="9:9" x14ac:dyDescent="0.25">
      <c r="I194" s="3"/>
    </row>
    <row r="195" spans="9:9" x14ac:dyDescent="0.25">
      <c r="I195" s="3"/>
    </row>
    <row r="196" spans="9:9" x14ac:dyDescent="0.25">
      <c r="I196" s="3"/>
    </row>
    <row r="197" spans="9:9" x14ac:dyDescent="0.25">
      <c r="I197" s="3"/>
    </row>
    <row r="198" spans="9:9" x14ac:dyDescent="0.25">
      <c r="I198" s="3"/>
    </row>
    <row r="199" spans="9:9" x14ac:dyDescent="0.25">
      <c r="I199" s="3"/>
    </row>
    <row r="200" spans="9:9" x14ac:dyDescent="0.25">
      <c r="I200" s="3"/>
    </row>
    <row r="201" spans="9:9" x14ac:dyDescent="0.25">
      <c r="I201" s="3"/>
    </row>
    <row r="202" spans="9:9" x14ac:dyDescent="0.25">
      <c r="I202" s="3"/>
    </row>
    <row r="203" spans="9:9" x14ac:dyDescent="0.25">
      <c r="I203" s="3"/>
    </row>
    <row r="204" spans="9:9" x14ac:dyDescent="0.25">
      <c r="I204" s="3"/>
    </row>
    <row r="205" spans="9:9" x14ac:dyDescent="0.25">
      <c r="I205" s="3"/>
    </row>
    <row r="206" spans="9:9" x14ac:dyDescent="0.25">
      <c r="I206" s="3"/>
    </row>
    <row r="207" spans="9:9" x14ac:dyDescent="0.25">
      <c r="I207" s="3"/>
    </row>
    <row r="208" spans="9:9" x14ac:dyDescent="0.25">
      <c r="I208" s="3"/>
    </row>
    <row r="209" spans="9:9" x14ac:dyDescent="0.25">
      <c r="I209" s="3"/>
    </row>
    <row r="210" spans="9:9" x14ac:dyDescent="0.25">
      <c r="I210" s="3"/>
    </row>
    <row r="211" spans="9:9" x14ac:dyDescent="0.25">
      <c r="I211" s="3"/>
    </row>
    <row r="212" spans="9:9" x14ac:dyDescent="0.25">
      <c r="I212" s="3"/>
    </row>
    <row r="213" spans="9:9" x14ac:dyDescent="0.25">
      <c r="I213" s="3"/>
    </row>
    <row r="214" spans="9:9" x14ac:dyDescent="0.25">
      <c r="I214" s="3"/>
    </row>
    <row r="215" spans="9:9" x14ac:dyDescent="0.25">
      <c r="I215" s="3"/>
    </row>
    <row r="216" spans="9:9" x14ac:dyDescent="0.25">
      <c r="I216" s="3"/>
    </row>
    <row r="217" spans="9:9" x14ac:dyDescent="0.25">
      <c r="I217" s="3"/>
    </row>
    <row r="218" spans="9:9" x14ac:dyDescent="0.25">
      <c r="I218" s="3"/>
    </row>
    <row r="219" spans="9:9" x14ac:dyDescent="0.25">
      <c r="I219" s="3"/>
    </row>
    <row r="220" spans="9:9" x14ac:dyDescent="0.25">
      <c r="I220" s="3"/>
    </row>
    <row r="221" spans="9:9" x14ac:dyDescent="0.25">
      <c r="I221" s="3"/>
    </row>
    <row r="222" spans="9:9" x14ac:dyDescent="0.25">
      <c r="I222" s="3"/>
    </row>
    <row r="223" spans="9:9" x14ac:dyDescent="0.25">
      <c r="I223" s="3"/>
    </row>
    <row r="224" spans="9:9" x14ac:dyDescent="0.25">
      <c r="I224" s="3"/>
    </row>
    <row r="225" spans="9:9" x14ac:dyDescent="0.25">
      <c r="I225" s="3"/>
    </row>
    <row r="226" spans="9:9" x14ac:dyDescent="0.25">
      <c r="I226" s="3"/>
    </row>
    <row r="227" spans="9:9" x14ac:dyDescent="0.25">
      <c r="I227" s="3"/>
    </row>
    <row r="228" spans="9:9" x14ac:dyDescent="0.25">
      <c r="I228" s="3"/>
    </row>
    <row r="229" spans="9:9" x14ac:dyDescent="0.25">
      <c r="I229" s="3"/>
    </row>
    <row r="230" spans="9:9" x14ac:dyDescent="0.25">
      <c r="I230" s="3"/>
    </row>
    <row r="231" spans="9:9" x14ac:dyDescent="0.25">
      <c r="I231" s="3"/>
    </row>
    <row r="232" spans="9:9" x14ac:dyDescent="0.25">
      <c r="I232" s="3"/>
    </row>
    <row r="233" spans="9:9" x14ac:dyDescent="0.25">
      <c r="I233" s="3"/>
    </row>
    <row r="234" spans="9:9" x14ac:dyDescent="0.25">
      <c r="I234" s="3"/>
    </row>
    <row r="235" spans="9:9" x14ac:dyDescent="0.25">
      <c r="I235" s="3"/>
    </row>
    <row r="236" spans="9:9" x14ac:dyDescent="0.25">
      <c r="I236" s="3"/>
    </row>
    <row r="237" spans="9:9" x14ac:dyDescent="0.25">
      <c r="I237" s="3"/>
    </row>
    <row r="238" spans="9:9" x14ac:dyDescent="0.25">
      <c r="I238" s="3"/>
    </row>
    <row r="239" spans="9:9" x14ac:dyDescent="0.25">
      <c r="I239" s="3"/>
    </row>
    <row r="240" spans="9:9" x14ac:dyDescent="0.25">
      <c r="I240" s="3"/>
    </row>
    <row r="241" spans="9:9" x14ac:dyDescent="0.25">
      <c r="I241" s="3"/>
    </row>
    <row r="242" spans="9:9" x14ac:dyDescent="0.25">
      <c r="I242" s="3"/>
    </row>
    <row r="243" spans="9:9" x14ac:dyDescent="0.25">
      <c r="I243" s="3"/>
    </row>
    <row r="244" spans="9:9" x14ac:dyDescent="0.25">
      <c r="I244" s="3"/>
    </row>
    <row r="245" spans="9:9" x14ac:dyDescent="0.25">
      <c r="I245" s="3"/>
    </row>
    <row r="246" spans="9:9" x14ac:dyDescent="0.25">
      <c r="I246" s="3"/>
    </row>
    <row r="247" spans="9:9" x14ac:dyDescent="0.25">
      <c r="I247" s="3"/>
    </row>
    <row r="248" spans="9:9" x14ac:dyDescent="0.25">
      <c r="I248" s="3"/>
    </row>
    <row r="249" spans="9:9" x14ac:dyDescent="0.25">
      <c r="I249" s="3"/>
    </row>
    <row r="250" spans="9:9" x14ac:dyDescent="0.25">
      <c r="I250" s="3"/>
    </row>
    <row r="251" spans="9:9" x14ac:dyDescent="0.25">
      <c r="I251" s="3"/>
    </row>
    <row r="252" spans="9:9" x14ac:dyDescent="0.25">
      <c r="I252" s="3"/>
    </row>
    <row r="253" spans="9:9" x14ac:dyDescent="0.25">
      <c r="I253" s="3"/>
    </row>
    <row r="254" spans="9:9" x14ac:dyDescent="0.25">
      <c r="I254" s="3"/>
    </row>
    <row r="255" spans="9:9" x14ac:dyDescent="0.25">
      <c r="I255" s="3"/>
    </row>
    <row r="256" spans="9:9" x14ac:dyDescent="0.25">
      <c r="I256" s="3"/>
    </row>
    <row r="257" spans="9:9" x14ac:dyDescent="0.25">
      <c r="I257" s="3"/>
    </row>
    <row r="258" spans="9:9" x14ac:dyDescent="0.25">
      <c r="I258" s="3"/>
    </row>
    <row r="259" spans="9:9" x14ac:dyDescent="0.25">
      <c r="I259" s="3"/>
    </row>
    <row r="260" spans="9:9" x14ac:dyDescent="0.25">
      <c r="I260" s="3"/>
    </row>
    <row r="261" spans="9:9" x14ac:dyDescent="0.25">
      <c r="I261" s="3"/>
    </row>
    <row r="262" spans="9:9" x14ac:dyDescent="0.25">
      <c r="I262" s="3"/>
    </row>
    <row r="263" spans="9:9" x14ac:dyDescent="0.25">
      <c r="I263" s="3"/>
    </row>
    <row r="264" spans="9:9" x14ac:dyDescent="0.25">
      <c r="I264" s="3"/>
    </row>
    <row r="265" spans="9:9" x14ac:dyDescent="0.25">
      <c r="I265" s="3"/>
    </row>
    <row r="266" spans="9:9" x14ac:dyDescent="0.25">
      <c r="I266" s="3"/>
    </row>
    <row r="267" spans="9:9" x14ac:dyDescent="0.25">
      <c r="I267" s="3"/>
    </row>
    <row r="268" spans="9:9" x14ac:dyDescent="0.25">
      <c r="I268" s="3"/>
    </row>
    <row r="269" spans="9:9" x14ac:dyDescent="0.25">
      <c r="I269" s="3"/>
    </row>
    <row r="270" spans="9:9" x14ac:dyDescent="0.25">
      <c r="I270" s="3"/>
    </row>
    <row r="271" spans="9:9" x14ac:dyDescent="0.25">
      <c r="I271" s="3"/>
    </row>
    <row r="272" spans="9:9" x14ac:dyDescent="0.25">
      <c r="I272" s="3"/>
    </row>
    <row r="273" spans="9:9" x14ac:dyDescent="0.25">
      <c r="I273" s="3"/>
    </row>
    <row r="274" spans="9:9" x14ac:dyDescent="0.25">
      <c r="I274" s="3"/>
    </row>
    <row r="275" spans="9:9" x14ac:dyDescent="0.25">
      <c r="I275" s="3"/>
    </row>
    <row r="276" spans="9:9" x14ac:dyDescent="0.25">
      <c r="I276" s="3"/>
    </row>
    <row r="277" spans="9:9" x14ac:dyDescent="0.25">
      <c r="I277" s="3"/>
    </row>
    <row r="278" spans="9:9" x14ac:dyDescent="0.25">
      <c r="I278" s="3"/>
    </row>
    <row r="279" spans="9:9" x14ac:dyDescent="0.25">
      <c r="I279" s="3"/>
    </row>
    <row r="280" spans="9:9" x14ac:dyDescent="0.25">
      <c r="I280" s="3"/>
    </row>
    <row r="281" spans="9:9" x14ac:dyDescent="0.25">
      <c r="I281" s="3"/>
    </row>
    <row r="282" spans="9:9" x14ac:dyDescent="0.25">
      <c r="I282" s="3"/>
    </row>
    <row r="283" spans="9:9" x14ac:dyDescent="0.25">
      <c r="I283" s="3"/>
    </row>
    <row r="284" spans="9:9" x14ac:dyDescent="0.25">
      <c r="I284" s="3"/>
    </row>
    <row r="285" spans="9:9" x14ac:dyDescent="0.25">
      <c r="I285" s="3"/>
    </row>
    <row r="286" spans="9:9" x14ac:dyDescent="0.25">
      <c r="I286" s="3"/>
    </row>
    <row r="287" spans="9:9" x14ac:dyDescent="0.25">
      <c r="I287" s="3"/>
    </row>
    <row r="288" spans="9:9" x14ac:dyDescent="0.25">
      <c r="I288" s="3"/>
    </row>
    <row r="289" spans="9:9" x14ac:dyDescent="0.25">
      <c r="I289" s="3"/>
    </row>
    <row r="290" spans="9:9" x14ac:dyDescent="0.25">
      <c r="I290" s="3"/>
    </row>
    <row r="291" spans="9:9" x14ac:dyDescent="0.25">
      <c r="I291" s="3"/>
    </row>
    <row r="292" spans="9:9" x14ac:dyDescent="0.25">
      <c r="I292" s="3"/>
    </row>
    <row r="293" spans="9:9" x14ac:dyDescent="0.25">
      <c r="I293" s="3"/>
    </row>
    <row r="294" spans="9:9" x14ac:dyDescent="0.25">
      <c r="I294" s="3"/>
    </row>
    <row r="295" spans="9:9" x14ac:dyDescent="0.25">
      <c r="I295" s="3"/>
    </row>
    <row r="296" spans="9:9" x14ac:dyDescent="0.25">
      <c r="I296" s="3"/>
    </row>
    <row r="297" spans="9:9" x14ac:dyDescent="0.25">
      <c r="I297" s="3"/>
    </row>
    <row r="298" spans="9:9" x14ac:dyDescent="0.25">
      <c r="I298" s="3"/>
    </row>
    <row r="299" spans="9:9" x14ac:dyDescent="0.25">
      <c r="I299" s="3"/>
    </row>
    <row r="300" spans="9:9" x14ac:dyDescent="0.25">
      <c r="I300" s="3"/>
    </row>
    <row r="301" spans="9:9" x14ac:dyDescent="0.25">
      <c r="I301" s="3"/>
    </row>
    <row r="302" spans="9:9" x14ac:dyDescent="0.25">
      <c r="I302" s="3"/>
    </row>
    <row r="303" spans="9:9" x14ac:dyDescent="0.25">
      <c r="I303" s="3"/>
    </row>
    <row r="304" spans="9:9" x14ac:dyDescent="0.25">
      <c r="I304" s="3"/>
    </row>
    <row r="305" spans="9:9" x14ac:dyDescent="0.25">
      <c r="I305" s="3"/>
    </row>
    <row r="306" spans="9:9" x14ac:dyDescent="0.25">
      <c r="I306" s="3"/>
    </row>
    <row r="307" spans="9:9" x14ac:dyDescent="0.25">
      <c r="I307" s="3"/>
    </row>
    <row r="308" spans="9:9" x14ac:dyDescent="0.25">
      <c r="I308" s="3"/>
    </row>
    <row r="309" spans="9:9" x14ac:dyDescent="0.25">
      <c r="I309" s="3"/>
    </row>
    <row r="310" spans="9:9" x14ac:dyDescent="0.25">
      <c r="I310" s="3"/>
    </row>
    <row r="311" spans="9:9" x14ac:dyDescent="0.25">
      <c r="I311" s="3"/>
    </row>
    <row r="312" spans="9:9" x14ac:dyDescent="0.25">
      <c r="I312" s="3"/>
    </row>
    <row r="313" spans="9:9" x14ac:dyDescent="0.25">
      <c r="I313" s="3"/>
    </row>
    <row r="314" spans="9:9" x14ac:dyDescent="0.25">
      <c r="I314" s="3"/>
    </row>
    <row r="315" spans="9:9" x14ac:dyDescent="0.25">
      <c r="I315" s="3"/>
    </row>
    <row r="316" spans="9:9" x14ac:dyDescent="0.25">
      <c r="I316" s="3"/>
    </row>
    <row r="317" spans="9:9" x14ac:dyDescent="0.25">
      <c r="I317" s="3"/>
    </row>
    <row r="318" spans="9:9" x14ac:dyDescent="0.25">
      <c r="I318" s="3"/>
    </row>
    <row r="319" spans="9:9" x14ac:dyDescent="0.25">
      <c r="I319" s="3"/>
    </row>
    <row r="320" spans="9:9" x14ac:dyDescent="0.25">
      <c r="I320" s="3"/>
    </row>
    <row r="321" spans="9:9" x14ac:dyDescent="0.25">
      <c r="I321" s="3"/>
    </row>
    <row r="322" spans="9:9" x14ac:dyDescent="0.25">
      <c r="I322" s="3"/>
    </row>
    <row r="323" spans="9:9" x14ac:dyDescent="0.25">
      <c r="I323" s="3"/>
    </row>
    <row r="324" spans="9:9" x14ac:dyDescent="0.25">
      <c r="I324" s="3"/>
    </row>
    <row r="325" spans="9:9" x14ac:dyDescent="0.25">
      <c r="I325" s="3"/>
    </row>
    <row r="326" spans="9:9" x14ac:dyDescent="0.25">
      <c r="I326" s="3"/>
    </row>
    <row r="327" spans="9:9" x14ac:dyDescent="0.25">
      <c r="I327" s="3"/>
    </row>
    <row r="328" spans="9:9" x14ac:dyDescent="0.25">
      <c r="I328" s="3"/>
    </row>
    <row r="329" spans="9:9" x14ac:dyDescent="0.25">
      <c r="I329" s="3"/>
    </row>
    <row r="330" spans="9:9" x14ac:dyDescent="0.25">
      <c r="I330" s="3"/>
    </row>
    <row r="331" spans="9:9" x14ac:dyDescent="0.25">
      <c r="I331" s="3"/>
    </row>
    <row r="332" spans="9:9" x14ac:dyDescent="0.25">
      <c r="I332" s="3"/>
    </row>
    <row r="333" spans="9:9" x14ac:dyDescent="0.25">
      <c r="I333" s="3"/>
    </row>
    <row r="334" spans="9:9" x14ac:dyDescent="0.25">
      <c r="I334" s="3"/>
    </row>
    <row r="335" spans="9:9" x14ac:dyDescent="0.25">
      <c r="I335" s="3"/>
    </row>
    <row r="336" spans="9:9" x14ac:dyDescent="0.25">
      <c r="I336" s="3"/>
    </row>
    <row r="337" spans="9:9" x14ac:dyDescent="0.25">
      <c r="I337" s="3"/>
    </row>
    <row r="338" spans="9:9" x14ac:dyDescent="0.25">
      <c r="I338" s="3"/>
    </row>
    <row r="339" spans="9:9" x14ac:dyDescent="0.25">
      <c r="I339" s="3"/>
    </row>
    <row r="340" spans="9:9" x14ac:dyDescent="0.25">
      <c r="I340" s="3"/>
    </row>
    <row r="341" spans="9:9" x14ac:dyDescent="0.25">
      <c r="I341" s="3"/>
    </row>
    <row r="342" spans="9:9" x14ac:dyDescent="0.25">
      <c r="I342" s="3"/>
    </row>
    <row r="343" spans="9:9" x14ac:dyDescent="0.25">
      <c r="I343" s="3"/>
    </row>
    <row r="344" spans="9:9" x14ac:dyDescent="0.25">
      <c r="I344" s="3"/>
    </row>
    <row r="345" spans="9:9" x14ac:dyDescent="0.25">
      <c r="I345" s="3"/>
    </row>
    <row r="346" spans="9:9" x14ac:dyDescent="0.25">
      <c r="I346" s="3"/>
    </row>
    <row r="347" spans="9:9" x14ac:dyDescent="0.25">
      <c r="I347" s="3"/>
    </row>
    <row r="348" spans="9:9" x14ac:dyDescent="0.25">
      <c r="I348" s="3"/>
    </row>
    <row r="349" spans="9:9" x14ac:dyDescent="0.25">
      <c r="I349" s="3"/>
    </row>
    <row r="350" spans="9:9" x14ac:dyDescent="0.25">
      <c r="I350" s="3"/>
    </row>
    <row r="351" spans="9:9" x14ac:dyDescent="0.25">
      <c r="I351" s="3"/>
    </row>
    <row r="352" spans="9:9" x14ac:dyDescent="0.25">
      <c r="I352" s="3"/>
    </row>
    <row r="353" spans="9:9" x14ac:dyDescent="0.25">
      <c r="I353" s="3"/>
    </row>
    <row r="354" spans="9:9" x14ac:dyDescent="0.25">
      <c r="I354" s="3"/>
    </row>
    <row r="355" spans="9:9" x14ac:dyDescent="0.25">
      <c r="I355" s="3"/>
    </row>
    <row r="356" spans="9:9" x14ac:dyDescent="0.25">
      <c r="I356" s="3"/>
    </row>
    <row r="357" spans="9:9" x14ac:dyDescent="0.25">
      <c r="I357" s="3"/>
    </row>
    <row r="358" spans="9:9" x14ac:dyDescent="0.25">
      <c r="I358" s="3"/>
    </row>
    <row r="359" spans="9:9" x14ac:dyDescent="0.25">
      <c r="I359" s="3"/>
    </row>
    <row r="360" spans="9:9" x14ac:dyDescent="0.25">
      <c r="I360" s="3"/>
    </row>
    <row r="361" spans="9:9" x14ac:dyDescent="0.25">
      <c r="I361" s="3"/>
    </row>
    <row r="362" spans="9:9" x14ac:dyDescent="0.25">
      <c r="I362" s="3"/>
    </row>
    <row r="363" spans="9:9" x14ac:dyDescent="0.25">
      <c r="I363" s="3"/>
    </row>
    <row r="364" spans="9:9" x14ac:dyDescent="0.25">
      <c r="I364" s="3"/>
    </row>
    <row r="365" spans="9:9" x14ac:dyDescent="0.25">
      <c r="I365" s="3"/>
    </row>
    <row r="366" spans="9:9" x14ac:dyDescent="0.25">
      <c r="I366" s="3"/>
    </row>
    <row r="367" spans="9:9" x14ac:dyDescent="0.25">
      <c r="I367" s="3"/>
    </row>
    <row r="368" spans="9:9" x14ac:dyDescent="0.25">
      <c r="I368" s="3"/>
    </row>
    <row r="369" spans="9:9" x14ac:dyDescent="0.25">
      <c r="I369" s="3"/>
    </row>
    <row r="370" spans="9:9" x14ac:dyDescent="0.25">
      <c r="I370" s="3"/>
    </row>
    <row r="371" spans="9:9" x14ac:dyDescent="0.25">
      <c r="I371" s="3"/>
    </row>
    <row r="372" spans="9:9" x14ac:dyDescent="0.25">
      <c r="I372" s="3"/>
    </row>
    <row r="373" spans="9:9" x14ac:dyDescent="0.25">
      <c r="I373" s="3"/>
    </row>
    <row r="374" spans="9:9" x14ac:dyDescent="0.25">
      <c r="I374" s="3"/>
    </row>
    <row r="375" spans="9:9" x14ac:dyDescent="0.25">
      <c r="I375" s="3"/>
    </row>
    <row r="376" spans="9:9" x14ac:dyDescent="0.25">
      <c r="I376" s="3"/>
    </row>
    <row r="377" spans="9:9" x14ac:dyDescent="0.25">
      <c r="I377" s="3"/>
    </row>
    <row r="378" spans="9:9" x14ac:dyDescent="0.25">
      <c r="I378" s="3"/>
    </row>
    <row r="379" spans="9:9" x14ac:dyDescent="0.25">
      <c r="I379" s="3"/>
    </row>
    <row r="380" spans="9:9" x14ac:dyDescent="0.25">
      <c r="I380" s="3"/>
    </row>
    <row r="381" spans="9:9" x14ac:dyDescent="0.25">
      <c r="I381" s="3"/>
    </row>
    <row r="382" spans="9:9" x14ac:dyDescent="0.25">
      <c r="I382" s="3"/>
    </row>
    <row r="383" spans="9:9" x14ac:dyDescent="0.25">
      <c r="I383" s="3"/>
    </row>
    <row r="384" spans="9:9" x14ac:dyDescent="0.25">
      <c r="I384" s="3"/>
    </row>
    <row r="385" spans="9:9" x14ac:dyDescent="0.25">
      <c r="I385" s="3"/>
    </row>
    <row r="386" spans="9:9" x14ac:dyDescent="0.25">
      <c r="I386" s="3"/>
    </row>
    <row r="387" spans="9:9" x14ac:dyDescent="0.25">
      <c r="I387" s="3"/>
    </row>
    <row r="388" spans="9:9" x14ac:dyDescent="0.25">
      <c r="I388" s="3"/>
    </row>
    <row r="389" spans="9:9" x14ac:dyDescent="0.25">
      <c r="I389" s="3"/>
    </row>
    <row r="390" spans="9:9" x14ac:dyDescent="0.25">
      <c r="I390" s="3"/>
    </row>
    <row r="391" spans="9:9" x14ac:dyDescent="0.25">
      <c r="I391" s="3"/>
    </row>
    <row r="392" spans="9:9" x14ac:dyDescent="0.25">
      <c r="I392" s="3"/>
    </row>
    <row r="393" spans="9:9" x14ac:dyDescent="0.25">
      <c r="I393" s="3"/>
    </row>
    <row r="394" spans="9:9" x14ac:dyDescent="0.25">
      <c r="I394" s="3"/>
    </row>
    <row r="395" spans="9:9" x14ac:dyDescent="0.25">
      <c r="I395" s="3"/>
    </row>
    <row r="396" spans="9:9" x14ac:dyDescent="0.25">
      <c r="I396" s="3"/>
    </row>
    <row r="397" spans="9:9" x14ac:dyDescent="0.25">
      <c r="I397" s="3"/>
    </row>
    <row r="398" spans="9:9" x14ac:dyDescent="0.25">
      <c r="I398" s="3"/>
    </row>
    <row r="399" spans="9:9" x14ac:dyDescent="0.25">
      <c r="I399" s="3"/>
    </row>
    <row r="400" spans="9:9" x14ac:dyDescent="0.25">
      <c r="I400" s="3"/>
    </row>
    <row r="401" spans="9:9" x14ac:dyDescent="0.25">
      <c r="I401" s="3"/>
    </row>
    <row r="402" spans="9:9" x14ac:dyDescent="0.25">
      <c r="I402" s="3"/>
    </row>
    <row r="403" spans="9:9" x14ac:dyDescent="0.25">
      <c r="I403" s="3"/>
    </row>
    <row r="404" spans="9:9" x14ac:dyDescent="0.25">
      <c r="I404" s="3"/>
    </row>
    <row r="405" spans="9:9" x14ac:dyDescent="0.25">
      <c r="I405" s="3"/>
    </row>
    <row r="406" spans="9:9" x14ac:dyDescent="0.25">
      <c r="I406" s="3"/>
    </row>
    <row r="407" spans="9:9" x14ac:dyDescent="0.25">
      <c r="I407" s="3"/>
    </row>
    <row r="408" spans="9:9" x14ac:dyDescent="0.25">
      <c r="I408" s="3"/>
    </row>
    <row r="409" spans="9:9" x14ac:dyDescent="0.25">
      <c r="I409" s="3"/>
    </row>
    <row r="410" spans="9:9" x14ac:dyDescent="0.25">
      <c r="I410" s="3"/>
    </row>
    <row r="411" spans="9:9" x14ac:dyDescent="0.25">
      <c r="I411" s="3"/>
    </row>
    <row r="412" spans="9:9" x14ac:dyDescent="0.25">
      <c r="I412" s="3"/>
    </row>
    <row r="413" spans="9:9" x14ac:dyDescent="0.25">
      <c r="I413" s="3"/>
    </row>
    <row r="414" spans="9:9" x14ac:dyDescent="0.25">
      <c r="I414" s="3"/>
    </row>
    <row r="415" spans="9:9" x14ac:dyDescent="0.25">
      <c r="I415" s="3"/>
    </row>
    <row r="416" spans="9:9" x14ac:dyDescent="0.25">
      <c r="I416" s="3"/>
    </row>
    <row r="417" spans="9:9" x14ac:dyDescent="0.25">
      <c r="I417" s="3"/>
    </row>
    <row r="418" spans="9:9" x14ac:dyDescent="0.25">
      <c r="I418" s="3"/>
    </row>
    <row r="419" spans="9:9" x14ac:dyDescent="0.25">
      <c r="I419" s="3"/>
    </row>
    <row r="420" spans="9:9" x14ac:dyDescent="0.25">
      <c r="I420" s="3"/>
    </row>
    <row r="421" spans="9:9" x14ac:dyDescent="0.25">
      <c r="I421" s="3"/>
    </row>
    <row r="422" spans="9:9" x14ac:dyDescent="0.25">
      <c r="I422" s="3"/>
    </row>
    <row r="423" spans="9:9" x14ac:dyDescent="0.25">
      <c r="I423" s="3"/>
    </row>
    <row r="424" spans="9:9" x14ac:dyDescent="0.25">
      <c r="I424" s="3"/>
    </row>
    <row r="425" spans="9:9" x14ac:dyDescent="0.25">
      <c r="I425" s="3"/>
    </row>
    <row r="426" spans="9:9" x14ac:dyDescent="0.25">
      <c r="I426" s="3"/>
    </row>
    <row r="427" spans="9:9" x14ac:dyDescent="0.25">
      <c r="I427" s="3"/>
    </row>
    <row r="428" spans="9:9" x14ac:dyDescent="0.25">
      <c r="I428" s="3"/>
    </row>
    <row r="429" spans="9:9" x14ac:dyDescent="0.25">
      <c r="I429" s="3"/>
    </row>
    <row r="430" spans="9:9" x14ac:dyDescent="0.25">
      <c r="I430" s="3"/>
    </row>
    <row r="431" spans="9:9" x14ac:dyDescent="0.25">
      <c r="I431" s="3"/>
    </row>
    <row r="432" spans="9:9" x14ac:dyDescent="0.25">
      <c r="I432" s="3"/>
    </row>
    <row r="433" spans="9:9" x14ac:dyDescent="0.25">
      <c r="I433" s="3"/>
    </row>
    <row r="434" spans="9:9" x14ac:dyDescent="0.25">
      <c r="I434" s="3"/>
    </row>
    <row r="435" spans="9:9" x14ac:dyDescent="0.25">
      <c r="I435" s="3"/>
    </row>
    <row r="436" spans="9:9" x14ac:dyDescent="0.25">
      <c r="I436" s="3"/>
    </row>
    <row r="437" spans="9:9" x14ac:dyDescent="0.25">
      <c r="I437" s="3"/>
    </row>
    <row r="438" spans="9:9" x14ac:dyDescent="0.25">
      <c r="I438" s="3"/>
    </row>
    <row r="439" spans="9:9" x14ac:dyDescent="0.25">
      <c r="I439" s="3"/>
    </row>
    <row r="440" spans="9:9" x14ac:dyDescent="0.25">
      <c r="I440" s="3"/>
    </row>
    <row r="441" spans="9:9" x14ac:dyDescent="0.25">
      <c r="I441" s="3"/>
    </row>
    <row r="442" spans="9:9" x14ac:dyDescent="0.25">
      <c r="I442" s="3"/>
    </row>
    <row r="443" spans="9:9" x14ac:dyDescent="0.25">
      <c r="I443" s="3"/>
    </row>
    <row r="444" spans="9:9" x14ac:dyDescent="0.25">
      <c r="I444" s="3"/>
    </row>
    <row r="445" spans="9:9" x14ac:dyDescent="0.25">
      <c r="I445" s="3"/>
    </row>
    <row r="446" spans="9:9" x14ac:dyDescent="0.25">
      <c r="I446" s="3"/>
    </row>
    <row r="447" spans="9:9" x14ac:dyDescent="0.25">
      <c r="I447" s="3"/>
    </row>
    <row r="448" spans="9:9" x14ac:dyDescent="0.25">
      <c r="I448" s="3"/>
    </row>
    <row r="449" spans="9:9" x14ac:dyDescent="0.25">
      <c r="I449" s="3"/>
    </row>
    <row r="450" spans="9:9" x14ac:dyDescent="0.25">
      <c r="I450" s="3"/>
    </row>
    <row r="451" spans="9:9" x14ac:dyDescent="0.25">
      <c r="I451" s="3"/>
    </row>
    <row r="452" spans="9:9" x14ac:dyDescent="0.25">
      <c r="I452" s="3"/>
    </row>
    <row r="453" spans="9:9" x14ac:dyDescent="0.25">
      <c r="I453" s="3"/>
    </row>
    <row r="454" spans="9:9" x14ac:dyDescent="0.25">
      <c r="I454" s="3"/>
    </row>
    <row r="455" spans="9:9" x14ac:dyDescent="0.25">
      <c r="I455" s="3"/>
    </row>
    <row r="456" spans="9:9" x14ac:dyDescent="0.25">
      <c r="I456" s="3"/>
    </row>
    <row r="457" spans="9:9" x14ac:dyDescent="0.25">
      <c r="I457" s="3"/>
    </row>
    <row r="458" spans="9:9" x14ac:dyDescent="0.25">
      <c r="I458" s="3"/>
    </row>
    <row r="459" spans="9:9" x14ac:dyDescent="0.25">
      <c r="I459" s="3"/>
    </row>
    <row r="460" spans="9:9" x14ac:dyDescent="0.25">
      <c r="I460" s="3"/>
    </row>
    <row r="461" spans="9:9" x14ac:dyDescent="0.25">
      <c r="I461" s="3"/>
    </row>
    <row r="462" spans="9:9" x14ac:dyDescent="0.25">
      <c r="I462" s="3"/>
    </row>
    <row r="463" spans="9:9" x14ac:dyDescent="0.25">
      <c r="I463" s="3"/>
    </row>
    <row r="464" spans="9:9" x14ac:dyDescent="0.25">
      <c r="I464" s="3"/>
    </row>
    <row r="465" spans="9:9" x14ac:dyDescent="0.25">
      <c r="I465" s="3"/>
    </row>
    <row r="466" spans="9:9" x14ac:dyDescent="0.25">
      <c r="I466" s="3"/>
    </row>
    <row r="467" spans="9:9" x14ac:dyDescent="0.25">
      <c r="I467" s="3"/>
    </row>
    <row r="468" spans="9:9" x14ac:dyDescent="0.25">
      <c r="I468" s="3"/>
    </row>
    <row r="469" spans="9:9" x14ac:dyDescent="0.25">
      <c r="I469" s="3"/>
    </row>
    <row r="470" spans="9:9" x14ac:dyDescent="0.25">
      <c r="I470" s="3"/>
    </row>
    <row r="471" spans="9:9" x14ac:dyDescent="0.25">
      <c r="I471" s="3"/>
    </row>
    <row r="472" spans="9:9" x14ac:dyDescent="0.25">
      <c r="I472" s="3"/>
    </row>
    <row r="473" spans="9:9" x14ac:dyDescent="0.25">
      <c r="I473" s="3"/>
    </row>
    <row r="474" spans="9:9" x14ac:dyDescent="0.25">
      <c r="I474" s="3"/>
    </row>
    <row r="475" spans="9:9" x14ac:dyDescent="0.25">
      <c r="I475" s="3"/>
    </row>
    <row r="476" spans="9:9" x14ac:dyDescent="0.25">
      <c r="I476" s="3"/>
    </row>
    <row r="477" spans="9:9" x14ac:dyDescent="0.25">
      <c r="I477" s="3"/>
    </row>
    <row r="478" spans="9:9" x14ac:dyDescent="0.25">
      <c r="I478" s="3"/>
    </row>
    <row r="479" spans="9:9" x14ac:dyDescent="0.25">
      <c r="I479" s="3"/>
    </row>
    <row r="480" spans="9:9" x14ac:dyDescent="0.25">
      <c r="I480" s="3"/>
    </row>
    <row r="481" spans="9:9" x14ac:dyDescent="0.25">
      <c r="I481" s="3"/>
    </row>
    <row r="482" spans="9:9" x14ac:dyDescent="0.25">
      <c r="I482" s="3"/>
    </row>
    <row r="483" spans="9:9" x14ac:dyDescent="0.25">
      <c r="I483" s="3"/>
    </row>
    <row r="484" spans="9:9" x14ac:dyDescent="0.25">
      <c r="I484" s="3"/>
    </row>
    <row r="485" spans="9:9" x14ac:dyDescent="0.25">
      <c r="I485" s="3"/>
    </row>
    <row r="486" spans="9:9" x14ac:dyDescent="0.25">
      <c r="I486" s="3"/>
    </row>
    <row r="487" spans="9:9" x14ac:dyDescent="0.25">
      <c r="I487" s="3"/>
    </row>
    <row r="488" spans="9:9" x14ac:dyDescent="0.25">
      <c r="I488" s="3"/>
    </row>
    <row r="489" spans="9:9" x14ac:dyDescent="0.25">
      <c r="I489" s="3"/>
    </row>
    <row r="490" spans="9:9" x14ac:dyDescent="0.25">
      <c r="I490" s="3"/>
    </row>
    <row r="491" spans="9:9" x14ac:dyDescent="0.25">
      <c r="I491" s="3"/>
    </row>
    <row r="492" spans="9:9" x14ac:dyDescent="0.25">
      <c r="I492" s="3"/>
    </row>
    <row r="493" spans="9:9" x14ac:dyDescent="0.25">
      <c r="I493" s="3"/>
    </row>
    <row r="494" spans="9:9" x14ac:dyDescent="0.25">
      <c r="I494" s="3"/>
    </row>
    <row r="495" spans="9:9" x14ac:dyDescent="0.25">
      <c r="I495" s="3"/>
    </row>
    <row r="496" spans="9:9" x14ac:dyDescent="0.25">
      <c r="I496" s="3"/>
    </row>
    <row r="497" spans="9:9" x14ac:dyDescent="0.25">
      <c r="I497" s="3"/>
    </row>
    <row r="498" spans="9:9" x14ac:dyDescent="0.25">
      <c r="I498" s="3"/>
    </row>
    <row r="499" spans="9:9" x14ac:dyDescent="0.25">
      <c r="I499" s="3"/>
    </row>
    <row r="500" spans="9:9" x14ac:dyDescent="0.25">
      <c r="I500" s="3"/>
    </row>
    <row r="501" spans="9:9" x14ac:dyDescent="0.25">
      <c r="I501" s="3"/>
    </row>
    <row r="502" spans="9:9" x14ac:dyDescent="0.25">
      <c r="I502" s="3"/>
    </row>
    <row r="503" spans="9:9" x14ac:dyDescent="0.25">
      <c r="I503" s="3"/>
    </row>
    <row r="504" spans="9:9" x14ac:dyDescent="0.25">
      <c r="I504" s="3"/>
    </row>
    <row r="505" spans="9:9" x14ac:dyDescent="0.25">
      <c r="I505" s="3"/>
    </row>
    <row r="506" spans="9:9" x14ac:dyDescent="0.25">
      <c r="I506" s="3"/>
    </row>
    <row r="507" spans="9:9" x14ac:dyDescent="0.25">
      <c r="I507" s="3"/>
    </row>
    <row r="508" spans="9:9" x14ac:dyDescent="0.25">
      <c r="I508" s="3"/>
    </row>
    <row r="509" spans="9:9" x14ac:dyDescent="0.25">
      <c r="I509" s="3"/>
    </row>
    <row r="510" spans="9:9" x14ac:dyDescent="0.25">
      <c r="I510" s="3"/>
    </row>
    <row r="511" spans="9:9" x14ac:dyDescent="0.25">
      <c r="I511" s="3"/>
    </row>
    <row r="512" spans="9:9" x14ac:dyDescent="0.25">
      <c r="I512" s="3"/>
    </row>
    <row r="513" spans="9:9" x14ac:dyDescent="0.25">
      <c r="I513" s="3"/>
    </row>
    <row r="514" spans="9:9" x14ac:dyDescent="0.25">
      <c r="I514" s="3"/>
    </row>
    <row r="515" spans="9:9" x14ac:dyDescent="0.25">
      <c r="I515" s="3"/>
    </row>
    <row r="516" spans="9:9" x14ac:dyDescent="0.25">
      <c r="I516" s="3"/>
    </row>
    <row r="517" spans="9:9" x14ac:dyDescent="0.25">
      <c r="I517" s="3"/>
    </row>
    <row r="518" spans="9:9" x14ac:dyDescent="0.25">
      <c r="I518" s="3"/>
    </row>
    <row r="519" spans="9:9" x14ac:dyDescent="0.25">
      <c r="I519" s="3"/>
    </row>
    <row r="520" spans="9:9" x14ac:dyDescent="0.25">
      <c r="I520" s="3"/>
    </row>
    <row r="521" spans="9:9" x14ac:dyDescent="0.25">
      <c r="I521" s="3"/>
    </row>
    <row r="522" spans="9:9" x14ac:dyDescent="0.25">
      <c r="I522" s="3"/>
    </row>
    <row r="523" spans="9:9" x14ac:dyDescent="0.25">
      <c r="I523" s="3"/>
    </row>
    <row r="524" spans="9:9" x14ac:dyDescent="0.25">
      <c r="I524" s="3"/>
    </row>
    <row r="525" spans="9:9" x14ac:dyDescent="0.25">
      <c r="I525" s="3"/>
    </row>
    <row r="526" spans="9:9" x14ac:dyDescent="0.25">
      <c r="I526" s="3"/>
    </row>
    <row r="527" spans="9:9" x14ac:dyDescent="0.25">
      <c r="I527" s="3"/>
    </row>
    <row r="528" spans="9:9" x14ac:dyDescent="0.25">
      <c r="I528" s="3"/>
    </row>
    <row r="529" spans="9:9" x14ac:dyDescent="0.25">
      <c r="I529" s="3"/>
    </row>
    <row r="530" spans="9:9" x14ac:dyDescent="0.25">
      <c r="I530" s="3"/>
    </row>
    <row r="531" spans="9:9" x14ac:dyDescent="0.25">
      <c r="I531" s="3"/>
    </row>
    <row r="532" spans="9:9" x14ac:dyDescent="0.25">
      <c r="I532" s="3"/>
    </row>
    <row r="533" spans="9:9" x14ac:dyDescent="0.25">
      <c r="I533" s="3"/>
    </row>
    <row r="534" spans="9:9" x14ac:dyDescent="0.25">
      <c r="I534" s="3"/>
    </row>
    <row r="535" spans="9:9" x14ac:dyDescent="0.25">
      <c r="I535" s="3"/>
    </row>
    <row r="536" spans="9:9" x14ac:dyDescent="0.25">
      <c r="I536" s="3"/>
    </row>
    <row r="537" spans="9:9" x14ac:dyDescent="0.25">
      <c r="I537" s="3"/>
    </row>
    <row r="538" spans="9:9" x14ac:dyDescent="0.25">
      <c r="I538" s="3"/>
    </row>
    <row r="539" spans="9:9" x14ac:dyDescent="0.25">
      <c r="I539" s="3"/>
    </row>
    <row r="540" spans="9:9" x14ac:dyDescent="0.25">
      <c r="I540" s="3"/>
    </row>
    <row r="541" spans="9:9" x14ac:dyDescent="0.25">
      <c r="I541" s="3"/>
    </row>
    <row r="542" spans="9:9" x14ac:dyDescent="0.25">
      <c r="I542" s="3"/>
    </row>
    <row r="543" spans="9:9" x14ac:dyDescent="0.25">
      <c r="I543" s="3"/>
    </row>
    <row r="544" spans="9:9" x14ac:dyDescent="0.25">
      <c r="I544" s="3"/>
    </row>
    <row r="545" spans="9:9" x14ac:dyDescent="0.25">
      <c r="I545" s="3"/>
    </row>
    <row r="546" spans="9:9" x14ac:dyDescent="0.25">
      <c r="I546" s="3"/>
    </row>
    <row r="547" spans="9:9" x14ac:dyDescent="0.25">
      <c r="I547" s="3"/>
    </row>
    <row r="548" spans="9:9" x14ac:dyDescent="0.25">
      <c r="I548" s="3"/>
    </row>
    <row r="549" spans="9:9" x14ac:dyDescent="0.25">
      <c r="I549" s="3"/>
    </row>
    <row r="550" spans="9:9" x14ac:dyDescent="0.25">
      <c r="I550" s="3"/>
    </row>
    <row r="551" spans="9:9" x14ac:dyDescent="0.25">
      <c r="I551" s="3"/>
    </row>
    <row r="552" spans="9:9" x14ac:dyDescent="0.25">
      <c r="I552" s="3"/>
    </row>
    <row r="553" spans="9:9" x14ac:dyDescent="0.25">
      <c r="I553" s="3"/>
    </row>
    <row r="554" spans="9:9" x14ac:dyDescent="0.25">
      <c r="I554" s="3"/>
    </row>
    <row r="555" spans="9:9" x14ac:dyDescent="0.25">
      <c r="I555" s="3"/>
    </row>
    <row r="556" spans="9:9" x14ac:dyDescent="0.25">
      <c r="I556" s="3"/>
    </row>
    <row r="557" spans="9:9" x14ac:dyDescent="0.25">
      <c r="I557" s="3"/>
    </row>
    <row r="558" spans="9:9" x14ac:dyDescent="0.25">
      <c r="I558" s="3"/>
    </row>
    <row r="559" spans="9:9" x14ac:dyDescent="0.25">
      <c r="I559" s="3"/>
    </row>
    <row r="560" spans="9:9" x14ac:dyDescent="0.25">
      <c r="I560" s="3"/>
    </row>
    <row r="561" spans="9:9" x14ac:dyDescent="0.25">
      <c r="I561" s="3"/>
    </row>
    <row r="562" spans="9:9" x14ac:dyDescent="0.25">
      <c r="I562" s="3"/>
    </row>
    <row r="563" spans="9:9" x14ac:dyDescent="0.25">
      <c r="I563" s="3"/>
    </row>
    <row r="564" spans="9:9" x14ac:dyDescent="0.25">
      <c r="I564" s="3"/>
    </row>
    <row r="565" spans="9:9" x14ac:dyDescent="0.25">
      <c r="I565" s="3"/>
    </row>
    <row r="566" spans="9:9" x14ac:dyDescent="0.25">
      <c r="I566" s="3"/>
    </row>
    <row r="567" spans="9:9" x14ac:dyDescent="0.25">
      <c r="I567" s="3"/>
    </row>
    <row r="568" spans="9:9" x14ac:dyDescent="0.25">
      <c r="I568" s="3"/>
    </row>
    <row r="569" spans="9:9" x14ac:dyDescent="0.25">
      <c r="I569" s="3"/>
    </row>
    <row r="570" spans="9:9" x14ac:dyDescent="0.25">
      <c r="I570" s="3"/>
    </row>
    <row r="571" spans="9:9" x14ac:dyDescent="0.25">
      <c r="I571" s="3"/>
    </row>
    <row r="572" spans="9:9" x14ac:dyDescent="0.25">
      <c r="I572" s="3"/>
    </row>
    <row r="573" spans="9:9" x14ac:dyDescent="0.25">
      <c r="I573" s="3"/>
    </row>
    <row r="574" spans="9:9" x14ac:dyDescent="0.25">
      <c r="I574" s="3"/>
    </row>
    <row r="575" spans="9:9" x14ac:dyDescent="0.25">
      <c r="I575" s="3"/>
    </row>
    <row r="576" spans="9:9" x14ac:dyDescent="0.25">
      <c r="I576" s="3"/>
    </row>
    <row r="577" spans="9:9" x14ac:dyDescent="0.25">
      <c r="I577" s="3"/>
    </row>
    <row r="578" spans="9:9" x14ac:dyDescent="0.25">
      <c r="I578" s="3"/>
    </row>
    <row r="579" spans="9:9" x14ac:dyDescent="0.25">
      <c r="I579" s="3"/>
    </row>
    <row r="580" spans="9:9" x14ac:dyDescent="0.25">
      <c r="I580" s="3"/>
    </row>
    <row r="581" spans="9:9" x14ac:dyDescent="0.25">
      <c r="I581" s="3"/>
    </row>
    <row r="582" spans="9:9" x14ac:dyDescent="0.25">
      <c r="I582" s="3"/>
    </row>
    <row r="583" spans="9:9" x14ac:dyDescent="0.25">
      <c r="I583" s="3"/>
    </row>
    <row r="584" spans="9:9" x14ac:dyDescent="0.25">
      <c r="I584" s="3"/>
    </row>
    <row r="585" spans="9:9" x14ac:dyDescent="0.25">
      <c r="I585" s="3"/>
    </row>
    <row r="586" spans="9:9" x14ac:dyDescent="0.25">
      <c r="I586" s="3"/>
    </row>
    <row r="587" spans="9:9" x14ac:dyDescent="0.25">
      <c r="I587" s="3"/>
    </row>
    <row r="588" spans="9:9" x14ac:dyDescent="0.25">
      <c r="I588" s="3"/>
    </row>
    <row r="589" spans="9:9" x14ac:dyDescent="0.25">
      <c r="I589" s="3"/>
    </row>
    <row r="590" spans="9:9" x14ac:dyDescent="0.25">
      <c r="I590" s="3"/>
    </row>
    <row r="591" spans="9:9" x14ac:dyDescent="0.25">
      <c r="I591" s="3"/>
    </row>
    <row r="592" spans="9:9" x14ac:dyDescent="0.25">
      <c r="I592" s="3"/>
    </row>
    <row r="593" spans="9:9" x14ac:dyDescent="0.25">
      <c r="I593" s="3"/>
    </row>
    <row r="594" spans="9:9" x14ac:dyDescent="0.25">
      <c r="I594" s="3"/>
    </row>
    <row r="595" spans="9:9" x14ac:dyDescent="0.25">
      <c r="I595" s="3"/>
    </row>
    <row r="596" spans="9:9" x14ac:dyDescent="0.25">
      <c r="I596" s="3"/>
    </row>
    <row r="597" spans="9:9" x14ac:dyDescent="0.25">
      <c r="I597" s="3"/>
    </row>
    <row r="598" spans="9:9" x14ac:dyDescent="0.25">
      <c r="I598" s="3"/>
    </row>
    <row r="599" spans="9:9" x14ac:dyDescent="0.25">
      <c r="I599" s="3"/>
    </row>
    <row r="600" spans="9:9" x14ac:dyDescent="0.25">
      <c r="I600" s="3"/>
    </row>
    <row r="601" spans="9:9" x14ac:dyDescent="0.25">
      <c r="I601" s="3"/>
    </row>
    <row r="602" spans="9:9" x14ac:dyDescent="0.25">
      <c r="I602" s="3"/>
    </row>
    <row r="603" spans="9:9" x14ac:dyDescent="0.25">
      <c r="I603" s="3"/>
    </row>
    <row r="604" spans="9:9" x14ac:dyDescent="0.25">
      <c r="I604" s="3"/>
    </row>
    <row r="605" spans="9:9" x14ac:dyDescent="0.25">
      <c r="I605" s="3"/>
    </row>
    <row r="606" spans="9:9" x14ac:dyDescent="0.25">
      <c r="I606" s="3"/>
    </row>
    <row r="607" spans="9:9" x14ac:dyDescent="0.25">
      <c r="I607" s="3"/>
    </row>
    <row r="608" spans="9:9" x14ac:dyDescent="0.25">
      <c r="I608" s="3"/>
    </row>
    <row r="609" spans="9:9" x14ac:dyDescent="0.25">
      <c r="I609" s="3"/>
    </row>
    <row r="610" spans="9:9" x14ac:dyDescent="0.25">
      <c r="I610" s="3"/>
    </row>
    <row r="611" spans="9:9" x14ac:dyDescent="0.25">
      <c r="I611" s="3"/>
    </row>
    <row r="612" spans="9:9" x14ac:dyDescent="0.25">
      <c r="I612" s="3"/>
    </row>
    <row r="613" spans="9:9" x14ac:dyDescent="0.25">
      <c r="I613" s="3"/>
    </row>
    <row r="614" spans="9:9" x14ac:dyDescent="0.25">
      <c r="I614" s="3"/>
    </row>
    <row r="615" spans="9:9" x14ac:dyDescent="0.25">
      <c r="I615" s="3"/>
    </row>
    <row r="616" spans="9:9" x14ac:dyDescent="0.25">
      <c r="I616" s="3"/>
    </row>
    <row r="617" spans="9:9" x14ac:dyDescent="0.25">
      <c r="I617" s="3"/>
    </row>
    <row r="618" spans="9:9" x14ac:dyDescent="0.25">
      <c r="I618" s="3"/>
    </row>
    <row r="619" spans="9:9" x14ac:dyDescent="0.25">
      <c r="I619" s="3"/>
    </row>
    <row r="620" spans="9:9" x14ac:dyDescent="0.25">
      <c r="I620" s="3"/>
    </row>
    <row r="621" spans="9:9" x14ac:dyDescent="0.25">
      <c r="I621" s="3"/>
    </row>
    <row r="622" spans="9:9" x14ac:dyDescent="0.25">
      <c r="I622" s="3"/>
    </row>
    <row r="623" spans="9:9" x14ac:dyDescent="0.25">
      <c r="I623" s="3"/>
    </row>
    <row r="624" spans="9:9" x14ac:dyDescent="0.25">
      <c r="I624" s="3"/>
    </row>
    <row r="625" spans="9:9" x14ac:dyDescent="0.25">
      <c r="I625" s="3"/>
    </row>
    <row r="626" spans="9:9" x14ac:dyDescent="0.25">
      <c r="I626" s="3"/>
    </row>
    <row r="627" spans="9:9" x14ac:dyDescent="0.25">
      <c r="I627" s="3"/>
    </row>
    <row r="628" spans="9:9" x14ac:dyDescent="0.25">
      <c r="I628" s="3"/>
    </row>
    <row r="629" spans="9:9" x14ac:dyDescent="0.25">
      <c r="I629" s="3"/>
    </row>
    <row r="630" spans="9:9" x14ac:dyDescent="0.25">
      <c r="I630" s="3"/>
    </row>
    <row r="631" spans="9:9" x14ac:dyDescent="0.25">
      <c r="I631" s="3"/>
    </row>
    <row r="632" spans="9:9" x14ac:dyDescent="0.25">
      <c r="I632" s="3"/>
    </row>
    <row r="633" spans="9:9" x14ac:dyDescent="0.25">
      <c r="I633" s="3"/>
    </row>
    <row r="634" spans="9:9" x14ac:dyDescent="0.25">
      <c r="I634" s="3"/>
    </row>
    <row r="635" spans="9:9" x14ac:dyDescent="0.25">
      <c r="I635" s="3"/>
    </row>
    <row r="636" spans="9:9" x14ac:dyDescent="0.25">
      <c r="I636" s="3"/>
    </row>
    <row r="637" spans="9:9" x14ac:dyDescent="0.25">
      <c r="I637" s="3"/>
    </row>
    <row r="638" spans="9:9" x14ac:dyDescent="0.25">
      <c r="I638" s="3"/>
    </row>
    <row r="639" spans="9:9" x14ac:dyDescent="0.25">
      <c r="I639" s="3"/>
    </row>
    <row r="640" spans="9:9" x14ac:dyDescent="0.25">
      <c r="I640" s="3"/>
    </row>
    <row r="641" spans="9:9" x14ac:dyDescent="0.25">
      <c r="I641" s="3"/>
    </row>
    <row r="642" spans="9:9" x14ac:dyDescent="0.25">
      <c r="I642" s="3"/>
    </row>
    <row r="643" spans="9:9" x14ac:dyDescent="0.25">
      <c r="I643" s="3"/>
    </row>
    <row r="644" spans="9:9" x14ac:dyDescent="0.25">
      <c r="I644" s="3"/>
    </row>
    <row r="645" spans="9:9" x14ac:dyDescent="0.25">
      <c r="I645" s="3"/>
    </row>
    <row r="646" spans="9:9" x14ac:dyDescent="0.25">
      <c r="I646" s="3"/>
    </row>
    <row r="647" spans="9:9" x14ac:dyDescent="0.25">
      <c r="I647" s="3"/>
    </row>
    <row r="648" spans="9:9" x14ac:dyDescent="0.25">
      <c r="I648" s="3"/>
    </row>
    <row r="649" spans="9:9" x14ac:dyDescent="0.25">
      <c r="I649" s="3"/>
    </row>
    <row r="650" spans="9:9" x14ac:dyDescent="0.25">
      <c r="I650" s="3"/>
    </row>
    <row r="651" spans="9:9" x14ac:dyDescent="0.25">
      <c r="I651" s="3"/>
    </row>
    <row r="652" spans="9:9" x14ac:dyDescent="0.25">
      <c r="I652" s="3"/>
    </row>
    <row r="653" spans="9:9" x14ac:dyDescent="0.25">
      <c r="I653" s="3"/>
    </row>
    <row r="654" spans="9:9" x14ac:dyDescent="0.25">
      <c r="I654" s="3"/>
    </row>
    <row r="655" spans="9:9" x14ac:dyDescent="0.25">
      <c r="I655" s="3"/>
    </row>
    <row r="656" spans="9:9" x14ac:dyDescent="0.25">
      <c r="I656" s="3"/>
    </row>
    <row r="657" spans="9:9" x14ac:dyDescent="0.25">
      <c r="I657" s="3"/>
    </row>
    <row r="658" spans="9:9" x14ac:dyDescent="0.25">
      <c r="I658" s="3"/>
    </row>
    <row r="659" spans="9:9" x14ac:dyDescent="0.25">
      <c r="I659" s="3"/>
    </row>
    <row r="660" spans="9:9" x14ac:dyDescent="0.25">
      <c r="I660" s="3"/>
    </row>
    <row r="661" spans="9:9" x14ac:dyDescent="0.25">
      <c r="I661" s="3"/>
    </row>
    <row r="662" spans="9:9" x14ac:dyDescent="0.25">
      <c r="I662" s="3"/>
    </row>
    <row r="663" spans="9:9" x14ac:dyDescent="0.25">
      <c r="I663" s="3"/>
    </row>
    <row r="664" spans="9:9" x14ac:dyDescent="0.25">
      <c r="I664" s="3"/>
    </row>
    <row r="665" spans="9:9" x14ac:dyDescent="0.25">
      <c r="I665" s="3"/>
    </row>
    <row r="666" spans="9:9" x14ac:dyDescent="0.25">
      <c r="I666" s="3"/>
    </row>
    <row r="667" spans="9:9" x14ac:dyDescent="0.25">
      <c r="I667" s="3"/>
    </row>
    <row r="668" spans="9:9" x14ac:dyDescent="0.25">
      <c r="I668" s="3"/>
    </row>
    <row r="669" spans="9:9" x14ac:dyDescent="0.25">
      <c r="I669" s="3"/>
    </row>
    <row r="670" spans="9:9" x14ac:dyDescent="0.25">
      <c r="I670" s="3"/>
    </row>
    <row r="671" spans="9:9" x14ac:dyDescent="0.25">
      <c r="I671" s="3"/>
    </row>
    <row r="672" spans="9:9" x14ac:dyDescent="0.25">
      <c r="I672" s="3"/>
    </row>
    <row r="673" spans="9:9" x14ac:dyDescent="0.25">
      <c r="I673" s="3"/>
    </row>
    <row r="674" spans="9:9" x14ac:dyDescent="0.25">
      <c r="I674" s="3"/>
    </row>
    <row r="675" spans="9:9" x14ac:dyDescent="0.25">
      <c r="I675" s="3"/>
    </row>
    <row r="676" spans="9:9" x14ac:dyDescent="0.25">
      <c r="I676" s="3"/>
    </row>
    <row r="677" spans="9:9" x14ac:dyDescent="0.25">
      <c r="I677" s="3"/>
    </row>
    <row r="678" spans="9:9" x14ac:dyDescent="0.25">
      <c r="I678" s="3"/>
    </row>
    <row r="679" spans="9:9" x14ac:dyDescent="0.25">
      <c r="I679" s="3"/>
    </row>
    <row r="680" spans="9:9" x14ac:dyDescent="0.25">
      <c r="I680" s="3"/>
    </row>
    <row r="681" spans="9:9" x14ac:dyDescent="0.25">
      <c r="I681" s="3"/>
    </row>
    <row r="682" spans="9:9" x14ac:dyDescent="0.25">
      <c r="I682" s="3"/>
    </row>
    <row r="683" spans="9:9" x14ac:dyDescent="0.25">
      <c r="I683" s="3"/>
    </row>
    <row r="684" spans="9:9" x14ac:dyDescent="0.25">
      <c r="I684" s="3"/>
    </row>
    <row r="685" spans="9:9" x14ac:dyDescent="0.25">
      <c r="I685" s="3"/>
    </row>
    <row r="686" spans="9:9" x14ac:dyDescent="0.25">
      <c r="I686" s="3"/>
    </row>
    <row r="687" spans="9:9" x14ac:dyDescent="0.25">
      <c r="I687" s="3"/>
    </row>
    <row r="688" spans="9:9" x14ac:dyDescent="0.25">
      <c r="I688" s="3"/>
    </row>
    <row r="689" spans="9:9" x14ac:dyDescent="0.25">
      <c r="I689" s="3"/>
    </row>
    <row r="690" spans="9:9" x14ac:dyDescent="0.25">
      <c r="I690" s="3"/>
    </row>
    <row r="691" spans="9:9" x14ac:dyDescent="0.25">
      <c r="I691" s="3"/>
    </row>
    <row r="692" spans="9:9" x14ac:dyDescent="0.25">
      <c r="I692" s="3"/>
    </row>
    <row r="693" spans="9:9" x14ac:dyDescent="0.25">
      <c r="I693" s="3"/>
    </row>
    <row r="694" spans="9:9" x14ac:dyDescent="0.25">
      <c r="I694" s="3"/>
    </row>
    <row r="695" spans="9:9" x14ac:dyDescent="0.25">
      <c r="I695" s="3"/>
    </row>
    <row r="696" spans="9:9" x14ac:dyDescent="0.25">
      <c r="I696" s="3"/>
    </row>
    <row r="697" spans="9:9" x14ac:dyDescent="0.25">
      <c r="I697" s="3"/>
    </row>
    <row r="698" spans="9:9" x14ac:dyDescent="0.25">
      <c r="I698" s="3"/>
    </row>
    <row r="699" spans="9:9" x14ac:dyDescent="0.25">
      <c r="I699" s="3"/>
    </row>
    <row r="700" spans="9:9" x14ac:dyDescent="0.25">
      <c r="I700" s="3"/>
    </row>
    <row r="701" spans="9:9" x14ac:dyDescent="0.25">
      <c r="I701" s="3"/>
    </row>
    <row r="702" spans="9:9" x14ac:dyDescent="0.25">
      <c r="I702" s="3"/>
    </row>
    <row r="703" spans="9:9" x14ac:dyDescent="0.25">
      <c r="I703" s="3"/>
    </row>
    <row r="704" spans="9:9" x14ac:dyDescent="0.25">
      <c r="I704" s="3"/>
    </row>
    <row r="705" spans="9:9" x14ac:dyDescent="0.25">
      <c r="I705" s="3"/>
    </row>
    <row r="706" spans="9:9" x14ac:dyDescent="0.25">
      <c r="I706" s="3"/>
    </row>
    <row r="707" spans="9:9" x14ac:dyDescent="0.25">
      <c r="I707" s="3"/>
    </row>
    <row r="708" spans="9:9" x14ac:dyDescent="0.25">
      <c r="I708" s="3"/>
    </row>
    <row r="709" spans="9:9" x14ac:dyDescent="0.25">
      <c r="I709" s="3"/>
    </row>
    <row r="710" spans="9:9" x14ac:dyDescent="0.25">
      <c r="I710" s="3"/>
    </row>
    <row r="711" spans="9:9" x14ac:dyDescent="0.25">
      <c r="I711" s="3"/>
    </row>
    <row r="712" spans="9:9" x14ac:dyDescent="0.25">
      <c r="I712" s="3"/>
    </row>
    <row r="713" spans="9:9" x14ac:dyDescent="0.25">
      <c r="I713" s="3"/>
    </row>
    <row r="714" spans="9:9" x14ac:dyDescent="0.25">
      <c r="I714" s="3"/>
    </row>
    <row r="715" spans="9:9" x14ac:dyDescent="0.25">
      <c r="I715" s="3"/>
    </row>
    <row r="716" spans="9:9" x14ac:dyDescent="0.25">
      <c r="I716" s="3"/>
    </row>
    <row r="717" spans="9:9" x14ac:dyDescent="0.25">
      <c r="I717" s="3"/>
    </row>
    <row r="718" spans="9:9" x14ac:dyDescent="0.25">
      <c r="I718" s="3"/>
    </row>
    <row r="719" spans="9:9" x14ac:dyDescent="0.25">
      <c r="I719" s="3"/>
    </row>
    <row r="720" spans="9:9" x14ac:dyDescent="0.25">
      <c r="I720" s="3"/>
    </row>
    <row r="721" spans="9:9" x14ac:dyDescent="0.25">
      <c r="I721" s="3"/>
    </row>
    <row r="722" spans="9:9" x14ac:dyDescent="0.25">
      <c r="I722" s="3"/>
    </row>
    <row r="723" spans="9:9" x14ac:dyDescent="0.25">
      <c r="I723" s="3"/>
    </row>
    <row r="724" spans="9:9" x14ac:dyDescent="0.25">
      <c r="I724" s="3"/>
    </row>
    <row r="725" spans="9:9" x14ac:dyDescent="0.25">
      <c r="I725" s="3"/>
    </row>
    <row r="726" spans="9:9" x14ac:dyDescent="0.25">
      <c r="I726" s="3"/>
    </row>
    <row r="727" spans="9:9" x14ac:dyDescent="0.25">
      <c r="I727" s="3"/>
    </row>
    <row r="728" spans="9:9" x14ac:dyDescent="0.25">
      <c r="I728" s="3"/>
    </row>
    <row r="729" spans="9:9" x14ac:dyDescent="0.25">
      <c r="I729" s="3"/>
    </row>
    <row r="730" spans="9:9" x14ac:dyDescent="0.25">
      <c r="I730" s="3"/>
    </row>
    <row r="731" spans="9:9" x14ac:dyDescent="0.25">
      <c r="I731" s="3"/>
    </row>
    <row r="732" spans="9:9" x14ac:dyDescent="0.25">
      <c r="I732" s="3"/>
    </row>
    <row r="733" spans="9:9" x14ac:dyDescent="0.25">
      <c r="I733" s="3"/>
    </row>
    <row r="734" spans="9:9" x14ac:dyDescent="0.25">
      <c r="I734" s="3"/>
    </row>
    <row r="735" spans="9:9" x14ac:dyDescent="0.25">
      <c r="I735" s="3"/>
    </row>
    <row r="736" spans="9:9" x14ac:dyDescent="0.25">
      <c r="I736" s="3"/>
    </row>
    <row r="737" spans="9:9" x14ac:dyDescent="0.25">
      <c r="I737" s="3"/>
    </row>
    <row r="738" spans="9:9" x14ac:dyDescent="0.25">
      <c r="I738" s="3"/>
    </row>
    <row r="739" spans="9:9" x14ac:dyDescent="0.25">
      <c r="I739" s="3"/>
    </row>
    <row r="740" spans="9:9" x14ac:dyDescent="0.25">
      <c r="I740" s="3"/>
    </row>
    <row r="741" spans="9:9" x14ac:dyDescent="0.25">
      <c r="I741" s="3"/>
    </row>
    <row r="742" spans="9:9" x14ac:dyDescent="0.25">
      <c r="I742" s="3"/>
    </row>
    <row r="743" spans="9:9" x14ac:dyDescent="0.25">
      <c r="I743" s="3"/>
    </row>
    <row r="744" spans="9:9" x14ac:dyDescent="0.25">
      <c r="I744" s="3"/>
    </row>
    <row r="745" spans="9:9" x14ac:dyDescent="0.25">
      <c r="I745" s="3"/>
    </row>
    <row r="746" spans="9:9" x14ac:dyDescent="0.25">
      <c r="I746" s="3"/>
    </row>
    <row r="747" spans="9:9" x14ac:dyDescent="0.25">
      <c r="I747" s="3"/>
    </row>
    <row r="748" spans="9:9" x14ac:dyDescent="0.25">
      <c r="I748" s="3"/>
    </row>
    <row r="749" spans="9:9" x14ac:dyDescent="0.25">
      <c r="I749" s="3"/>
    </row>
    <row r="750" spans="9:9" x14ac:dyDescent="0.25">
      <c r="I750" s="3"/>
    </row>
    <row r="751" spans="9:9" x14ac:dyDescent="0.25">
      <c r="I751" s="3"/>
    </row>
    <row r="752" spans="9:9" x14ac:dyDescent="0.25">
      <c r="I752" s="3"/>
    </row>
    <row r="753" spans="9:9" x14ac:dyDescent="0.25">
      <c r="I753" s="3"/>
    </row>
    <row r="754" spans="9:9" x14ac:dyDescent="0.25">
      <c r="I754" s="3"/>
    </row>
    <row r="755" spans="9:9" x14ac:dyDescent="0.25">
      <c r="I755" s="3"/>
    </row>
    <row r="756" spans="9:9" x14ac:dyDescent="0.25">
      <c r="I756" s="3"/>
    </row>
    <row r="757" spans="9:9" x14ac:dyDescent="0.25">
      <c r="I757" s="3"/>
    </row>
    <row r="758" spans="9:9" x14ac:dyDescent="0.25">
      <c r="I758" s="3"/>
    </row>
    <row r="759" spans="9:9" x14ac:dyDescent="0.25">
      <c r="I759" s="3"/>
    </row>
    <row r="760" spans="9:9" x14ac:dyDescent="0.25">
      <c r="I760" s="3"/>
    </row>
    <row r="761" spans="9:9" x14ac:dyDescent="0.25">
      <c r="I761" s="3"/>
    </row>
    <row r="762" spans="9:9" x14ac:dyDescent="0.25">
      <c r="I762" s="3"/>
    </row>
    <row r="763" spans="9:9" x14ac:dyDescent="0.25">
      <c r="I763" s="3"/>
    </row>
    <row r="764" spans="9:9" x14ac:dyDescent="0.25">
      <c r="I764" s="3"/>
    </row>
    <row r="765" spans="9:9" x14ac:dyDescent="0.25">
      <c r="I765" s="3"/>
    </row>
    <row r="766" spans="9:9" x14ac:dyDescent="0.25">
      <c r="I766" s="3"/>
    </row>
    <row r="767" spans="9:9" x14ac:dyDescent="0.25">
      <c r="I767" s="3"/>
    </row>
    <row r="768" spans="9:9" x14ac:dyDescent="0.25">
      <c r="I768" s="3"/>
    </row>
    <row r="769" spans="9:9" x14ac:dyDescent="0.25">
      <c r="I769" s="3"/>
    </row>
    <row r="770" spans="9:9" x14ac:dyDescent="0.25">
      <c r="I770" s="3"/>
    </row>
    <row r="771" spans="9:9" x14ac:dyDescent="0.25">
      <c r="I771" s="3"/>
    </row>
    <row r="772" spans="9:9" x14ac:dyDescent="0.25">
      <c r="I772" s="3"/>
    </row>
    <row r="773" spans="9:9" x14ac:dyDescent="0.25">
      <c r="I773" s="3"/>
    </row>
    <row r="774" spans="9:9" x14ac:dyDescent="0.25">
      <c r="I774" s="3"/>
    </row>
    <row r="775" spans="9:9" x14ac:dyDescent="0.25">
      <c r="I775" s="3"/>
    </row>
    <row r="776" spans="9:9" x14ac:dyDescent="0.25">
      <c r="I776" s="3"/>
    </row>
    <row r="777" spans="9:9" x14ac:dyDescent="0.25">
      <c r="I777" s="3"/>
    </row>
    <row r="778" spans="9:9" x14ac:dyDescent="0.25">
      <c r="I778" s="3"/>
    </row>
    <row r="779" spans="9:9" x14ac:dyDescent="0.25">
      <c r="I779" s="3"/>
    </row>
    <row r="780" spans="9:9" x14ac:dyDescent="0.25">
      <c r="I780" s="3"/>
    </row>
    <row r="781" spans="9:9" x14ac:dyDescent="0.25">
      <c r="I781" s="3"/>
    </row>
    <row r="782" spans="9:9" x14ac:dyDescent="0.25">
      <c r="I782" s="3"/>
    </row>
    <row r="783" spans="9:9" x14ac:dyDescent="0.25">
      <c r="I783" s="3"/>
    </row>
    <row r="784" spans="9:9" x14ac:dyDescent="0.25">
      <c r="I784" s="3"/>
    </row>
    <row r="785" spans="9:9" x14ac:dyDescent="0.25">
      <c r="I785" s="3"/>
    </row>
    <row r="786" spans="9:9" x14ac:dyDescent="0.25">
      <c r="I786" s="3"/>
    </row>
    <row r="787" spans="9:9" x14ac:dyDescent="0.25">
      <c r="I787" s="3"/>
    </row>
    <row r="788" spans="9:9" x14ac:dyDescent="0.25">
      <c r="I788" s="3"/>
    </row>
    <row r="789" spans="9:9" x14ac:dyDescent="0.25">
      <c r="I789" s="3"/>
    </row>
    <row r="790" spans="9:9" x14ac:dyDescent="0.25">
      <c r="I790" s="3"/>
    </row>
    <row r="791" spans="9:9" x14ac:dyDescent="0.25">
      <c r="I791" s="3"/>
    </row>
    <row r="792" spans="9:9" x14ac:dyDescent="0.25">
      <c r="I792" s="3"/>
    </row>
    <row r="793" spans="9:9" x14ac:dyDescent="0.25">
      <c r="I793" s="3"/>
    </row>
    <row r="794" spans="9:9" x14ac:dyDescent="0.25">
      <c r="I794" s="3"/>
    </row>
    <row r="795" spans="9:9" x14ac:dyDescent="0.25">
      <c r="I795" s="3"/>
    </row>
    <row r="796" spans="9:9" x14ac:dyDescent="0.25">
      <c r="I796" s="3"/>
    </row>
    <row r="797" spans="9:9" x14ac:dyDescent="0.25">
      <c r="I797" s="3"/>
    </row>
    <row r="798" spans="9:9" x14ac:dyDescent="0.25">
      <c r="I798" s="3"/>
    </row>
    <row r="799" spans="9:9" x14ac:dyDescent="0.25">
      <c r="I799" s="3"/>
    </row>
    <row r="800" spans="9:9" x14ac:dyDescent="0.25">
      <c r="I800" s="3"/>
    </row>
    <row r="801" spans="9:9" x14ac:dyDescent="0.25">
      <c r="I801" s="3"/>
    </row>
    <row r="802" spans="9:9" x14ac:dyDescent="0.25">
      <c r="I802" s="3"/>
    </row>
    <row r="803" spans="9:9" x14ac:dyDescent="0.25">
      <c r="I803" s="3"/>
    </row>
    <row r="804" spans="9:9" x14ac:dyDescent="0.25">
      <c r="I804" s="3"/>
    </row>
    <row r="805" spans="9:9" x14ac:dyDescent="0.25">
      <c r="I80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EA57-B683-44B4-95DC-6D21A7E75F2E}">
  <dimension ref="J6:P16"/>
  <sheetViews>
    <sheetView topLeftCell="B1" workbookViewId="0">
      <selection activeCell="P8" sqref="P8"/>
    </sheetView>
  </sheetViews>
  <sheetFormatPr defaultRowHeight="15" x14ac:dyDescent="0.25"/>
  <cols>
    <col min="15" max="15" width="16" customWidth="1"/>
  </cols>
  <sheetData>
    <row r="6" spans="10:16" x14ac:dyDescent="0.25">
      <c r="O6">
        <v>200000</v>
      </c>
    </row>
    <row r="7" spans="10:16" x14ac:dyDescent="0.25">
      <c r="J7">
        <v>21</v>
      </c>
      <c r="K7">
        <f>(21*317)/365</f>
        <v>18.238356164383561</v>
      </c>
      <c r="M7">
        <f>K7*1300</f>
        <v>23709.863013698628</v>
      </c>
      <c r="O7">
        <f>O6/100</f>
        <v>2000</v>
      </c>
      <c r="P7">
        <f>O7*10</f>
        <v>20000</v>
      </c>
    </row>
    <row r="8" spans="10:16" x14ac:dyDescent="0.25">
      <c r="J8">
        <v>365</v>
      </c>
      <c r="K8">
        <f>J8-48</f>
        <v>317</v>
      </c>
    </row>
    <row r="10" spans="10:16" x14ac:dyDescent="0.25">
      <c r="J10">
        <v>21</v>
      </c>
      <c r="K10">
        <f>(21*317)/365</f>
        <v>18.238356164383561</v>
      </c>
    </row>
    <row r="11" spans="10:16" x14ac:dyDescent="0.25">
      <c r="J11">
        <v>365</v>
      </c>
      <c r="K11">
        <f>J11-48</f>
        <v>317</v>
      </c>
    </row>
    <row r="13" spans="10:16" x14ac:dyDescent="0.25">
      <c r="J13">
        <v>21</v>
      </c>
      <c r="K13">
        <f>(21*317)/365</f>
        <v>18.238356164383561</v>
      </c>
    </row>
    <row r="14" spans="10:16" x14ac:dyDescent="0.25">
      <c r="J14">
        <v>317</v>
      </c>
      <c r="K14">
        <f>J14-180</f>
        <v>137</v>
      </c>
      <c r="L14">
        <f>K14/28.67</f>
        <v>4.7785141262643878</v>
      </c>
    </row>
    <row r="15" spans="10:16" x14ac:dyDescent="0.25">
      <c r="J15">
        <f>J14/28.67</f>
        <v>11.056853854202998</v>
      </c>
      <c r="L15">
        <f>137/1.75</f>
        <v>78.285714285714292</v>
      </c>
    </row>
    <row r="16" spans="10:16" x14ac:dyDescent="0.25">
      <c r="J16">
        <f>J15*1300</f>
        <v>14373.910010463898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2135-E79A-400E-9756-4B812CF2CE15}">
  <dimension ref="A1:X76"/>
  <sheetViews>
    <sheetView tabSelected="1" workbookViewId="0">
      <selection activeCell="F12" sqref="F12"/>
    </sheetView>
  </sheetViews>
  <sheetFormatPr defaultRowHeight="15" x14ac:dyDescent="0.25"/>
  <cols>
    <col min="2" max="2" width="16.7109375" bestFit="1" customWidth="1"/>
    <col min="6" max="6" width="16" customWidth="1"/>
    <col min="7" max="7" width="12.7109375" bestFit="1" customWidth="1"/>
    <col min="8" max="8" width="14.5703125" customWidth="1"/>
    <col min="11" max="11" width="12.7109375" bestFit="1" customWidth="1"/>
  </cols>
  <sheetData>
    <row r="1" spans="1:24" x14ac:dyDescent="0.2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spans="1:24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</row>
    <row r="3" spans="1:24" x14ac:dyDescent="0.2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 spans="1:24" x14ac:dyDescent="0.2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</row>
    <row r="5" spans="1:24" x14ac:dyDescent="0.2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</row>
    <row r="6" spans="1:24" x14ac:dyDescent="0.25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</row>
    <row r="7" spans="1:24" x14ac:dyDescent="0.25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spans="1:24" x14ac:dyDescent="0.2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</row>
    <row r="9" spans="1:24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</row>
    <row r="10" spans="1:24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 spans="1:24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 spans="1:24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 spans="1:24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spans="1:24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spans="1:24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spans="1:24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 spans="1:24" x14ac:dyDescent="0.2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 spans="1:24" x14ac:dyDescent="0.25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</row>
    <row r="19" spans="1:24" x14ac:dyDescent="0.25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</row>
    <row r="20" spans="1:24" x14ac:dyDescent="0.2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spans="1:24" x14ac:dyDescent="0.2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spans="1:24" x14ac:dyDescent="0.2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spans="1:24" x14ac:dyDescent="0.2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 spans="1:24" x14ac:dyDescent="0.2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 spans="1:24" x14ac:dyDescent="0.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spans="1:24" x14ac:dyDescent="0.2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spans="1:24" x14ac:dyDescent="0.2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spans="1:24" x14ac:dyDescent="0.25">
      <c r="A28" s="52" t="s">
        <v>4</v>
      </c>
      <c r="B28" s="52" t="s">
        <v>75</v>
      </c>
      <c r="C28" s="52" t="s">
        <v>76</v>
      </c>
      <c r="H28" s="53" t="s">
        <v>21</v>
      </c>
      <c r="I28" s="39">
        <v>2</v>
      </c>
      <c r="J28" s="39"/>
      <c r="K28" s="39" t="s">
        <v>29</v>
      </c>
      <c r="L28" s="39">
        <v>2</v>
      </c>
      <c r="M28" s="39"/>
    </row>
    <row r="29" spans="1:24" x14ac:dyDescent="0.25">
      <c r="A29" s="6">
        <v>1</v>
      </c>
      <c r="B29" s="45">
        <v>5</v>
      </c>
      <c r="C29" s="28">
        <v>5</v>
      </c>
      <c r="E29">
        <v>2.7</v>
      </c>
      <c r="H29" s="30" t="s">
        <v>22</v>
      </c>
      <c r="I29" s="28">
        <v>4</v>
      </c>
      <c r="J29" s="28"/>
      <c r="K29" s="28" t="s">
        <v>73</v>
      </c>
      <c r="L29" s="28">
        <v>2</v>
      </c>
      <c r="M29" s="28"/>
      <c r="P29">
        <v>5000</v>
      </c>
      <c r="Q29">
        <f>P29/70</f>
        <v>71.428571428571431</v>
      </c>
    </row>
    <row r="30" spans="1:24" x14ac:dyDescent="0.25">
      <c r="A30" s="6">
        <v>2</v>
      </c>
      <c r="B30" s="45">
        <v>1</v>
      </c>
      <c r="C30" s="28">
        <v>5</v>
      </c>
      <c r="E30">
        <v>3.07</v>
      </c>
      <c r="H30" s="30" t="s">
        <v>24</v>
      </c>
      <c r="I30" s="28">
        <v>4.5</v>
      </c>
      <c r="J30" s="28"/>
      <c r="K30" s="28" t="s">
        <v>39</v>
      </c>
      <c r="L30" s="28">
        <v>2</v>
      </c>
      <c r="M30" s="28"/>
      <c r="O30">
        <v>117</v>
      </c>
      <c r="P30">
        <v>70</v>
      </c>
      <c r="T30">
        <v>7</v>
      </c>
    </row>
    <row r="31" spans="1:24" x14ac:dyDescent="0.25">
      <c r="A31" s="6">
        <v>3</v>
      </c>
      <c r="B31" s="45">
        <v>1</v>
      </c>
      <c r="C31" s="28"/>
      <c r="E31">
        <v>3</v>
      </c>
      <c r="H31" s="31" t="s">
        <v>23</v>
      </c>
      <c r="I31" s="28">
        <v>5</v>
      </c>
      <c r="J31" s="28"/>
      <c r="K31" s="28" t="s">
        <v>31</v>
      </c>
      <c r="L31" s="28">
        <v>1</v>
      </c>
      <c r="M31" s="28"/>
      <c r="T31">
        <v>2.5</v>
      </c>
    </row>
    <row r="32" spans="1:24" x14ac:dyDescent="0.25">
      <c r="A32" s="6">
        <v>4</v>
      </c>
      <c r="B32" s="45">
        <v>1</v>
      </c>
      <c r="C32" s="28"/>
      <c r="E32">
        <v>2</v>
      </c>
      <c r="H32" s="31" t="s">
        <v>25</v>
      </c>
      <c r="I32" s="28">
        <v>3</v>
      </c>
      <c r="J32" s="28"/>
      <c r="K32" s="28" t="s">
        <v>32</v>
      </c>
      <c r="L32" s="28">
        <v>1</v>
      </c>
      <c r="M32" s="28"/>
      <c r="P32">
        <f>P29*117</f>
        <v>585000</v>
      </c>
    </row>
    <row r="33" spans="1:17" x14ac:dyDescent="0.25">
      <c r="A33" s="6">
        <v>5</v>
      </c>
      <c r="B33" s="45">
        <v>0.5</v>
      </c>
      <c r="C33" s="28"/>
      <c r="E33">
        <v>4</v>
      </c>
      <c r="H33" s="32" t="s">
        <v>26</v>
      </c>
      <c r="I33" s="28">
        <v>1</v>
      </c>
      <c r="J33" s="28"/>
      <c r="K33" s="28" t="s">
        <v>33</v>
      </c>
      <c r="L33" s="28">
        <v>2</v>
      </c>
      <c r="M33" s="28"/>
      <c r="P33">
        <f>P32/70</f>
        <v>8357.1428571428569</v>
      </c>
    </row>
    <row r="34" spans="1:17" x14ac:dyDescent="0.25">
      <c r="A34" s="6">
        <v>6</v>
      </c>
      <c r="B34" s="45">
        <v>0.5</v>
      </c>
      <c r="C34" s="28"/>
      <c r="E34">
        <v>4</v>
      </c>
      <c r="H34" s="32" t="s">
        <v>27</v>
      </c>
      <c r="I34" s="28">
        <v>0.8</v>
      </c>
      <c r="J34" s="28"/>
      <c r="K34" s="28" t="s">
        <v>34</v>
      </c>
      <c r="L34" s="28">
        <v>1</v>
      </c>
      <c r="M34" s="28"/>
    </row>
    <row r="35" spans="1:17" x14ac:dyDescent="0.25">
      <c r="A35" s="6">
        <v>7</v>
      </c>
      <c r="B35" s="6">
        <v>0.5</v>
      </c>
      <c r="C35" s="28"/>
      <c r="H35" s="28"/>
      <c r="I35" s="33">
        <f>SUM(I28:I34)</f>
        <v>20.3</v>
      </c>
      <c r="J35" s="28"/>
      <c r="K35" s="28" t="s">
        <v>35</v>
      </c>
      <c r="L35" s="28">
        <v>1</v>
      </c>
      <c r="M35" s="28"/>
    </row>
    <row r="36" spans="1:17" x14ac:dyDescent="0.25">
      <c r="A36" s="6">
        <v>8</v>
      </c>
      <c r="B36" s="6">
        <v>0.5</v>
      </c>
      <c r="C36" s="28"/>
      <c r="H36" s="28"/>
      <c r="I36" s="28"/>
      <c r="J36" s="28"/>
      <c r="K36" s="28" t="s">
        <v>36</v>
      </c>
      <c r="L36" s="28">
        <v>1</v>
      </c>
      <c r="M36" s="28"/>
      <c r="O36">
        <v>250</v>
      </c>
      <c r="P36">
        <v>11000</v>
      </c>
      <c r="Q36">
        <f>P36*O36</f>
        <v>2750000</v>
      </c>
    </row>
    <row r="37" spans="1:17" x14ac:dyDescent="0.25">
      <c r="A37" s="6">
        <v>9</v>
      </c>
      <c r="B37" s="6">
        <v>1</v>
      </c>
      <c r="C37" s="28"/>
      <c r="H37" s="32" t="s">
        <v>26</v>
      </c>
      <c r="I37" s="28">
        <v>1.1000000000000001</v>
      </c>
      <c r="J37" s="28"/>
      <c r="K37" s="28" t="s">
        <v>37</v>
      </c>
      <c r="L37" s="28">
        <v>1</v>
      </c>
      <c r="M37" s="28"/>
      <c r="O37">
        <v>200</v>
      </c>
      <c r="P37">
        <v>11000</v>
      </c>
    </row>
    <row r="38" spans="1:17" x14ac:dyDescent="0.25">
      <c r="A38" s="28"/>
      <c r="B38" s="28"/>
      <c r="C38" s="28"/>
      <c r="H38" s="32" t="s">
        <v>28</v>
      </c>
      <c r="I38" s="28">
        <v>1.8</v>
      </c>
      <c r="J38" s="28"/>
      <c r="K38" s="28"/>
      <c r="L38" s="28"/>
      <c r="M38" s="28"/>
      <c r="P38">
        <f>P37*O37</f>
        <v>2200000</v>
      </c>
    </row>
    <row r="39" spans="1:17" x14ac:dyDescent="0.25">
      <c r="A39" s="28"/>
      <c r="B39" s="28"/>
      <c r="C39" s="28"/>
      <c r="H39" s="32" t="s">
        <v>27</v>
      </c>
      <c r="I39" s="28">
        <v>0.95</v>
      </c>
      <c r="J39" s="28"/>
      <c r="K39" s="28"/>
      <c r="L39" s="28"/>
      <c r="M39" s="28"/>
    </row>
    <row r="40" spans="1:17" x14ac:dyDescent="0.25">
      <c r="A40" s="28"/>
      <c r="B40" s="28"/>
      <c r="C40" s="28"/>
      <c r="H40" s="32" t="s">
        <v>38</v>
      </c>
      <c r="I40" s="28">
        <v>1.2</v>
      </c>
      <c r="J40" s="28"/>
      <c r="K40" s="28"/>
      <c r="L40" s="28"/>
      <c r="M40" s="28"/>
    </row>
    <row r="41" spans="1:17" x14ac:dyDescent="0.25">
      <c r="A41" s="28"/>
      <c r="B41" s="28"/>
      <c r="C41" s="28"/>
      <c r="H41" s="32" t="s">
        <v>74</v>
      </c>
      <c r="I41" s="28">
        <v>0.4</v>
      </c>
      <c r="J41" s="28"/>
      <c r="K41" s="28"/>
      <c r="L41" s="28">
        <f>SUM(L28:L40)</f>
        <v>14</v>
      </c>
      <c r="M41" s="28"/>
    </row>
    <row r="42" spans="1:17" x14ac:dyDescent="0.25">
      <c r="A42" s="28"/>
      <c r="B42" s="28"/>
      <c r="C42" s="28"/>
      <c r="E42" s="44">
        <f>SUM(E22:E41)</f>
        <v>18.77</v>
      </c>
      <c r="F42">
        <f>E42*14000</f>
        <v>262780</v>
      </c>
      <c r="H42" s="28"/>
      <c r="I42" s="33">
        <f>SUM(I37:I41)</f>
        <v>5.4500000000000011</v>
      </c>
      <c r="J42" s="28"/>
      <c r="K42" s="28"/>
      <c r="L42" s="28"/>
      <c r="M42" s="28"/>
    </row>
    <row r="43" spans="1:17" x14ac:dyDescent="0.25">
      <c r="A43" s="28"/>
      <c r="B43" s="28"/>
      <c r="C43" s="28"/>
      <c r="H43" s="28"/>
      <c r="I43" s="34">
        <f>I42+I35</f>
        <v>25.75</v>
      </c>
      <c r="J43" s="28"/>
      <c r="K43" s="28"/>
      <c r="L43" s="28"/>
      <c r="M43" s="28"/>
      <c r="O43">
        <v>1.95</v>
      </c>
    </row>
    <row r="44" spans="1:17" x14ac:dyDescent="0.25">
      <c r="A44" s="28"/>
      <c r="B44" s="28"/>
      <c r="C44" s="28"/>
      <c r="O44">
        <f>O43*130000</f>
        <v>253500</v>
      </c>
    </row>
    <row r="45" spans="1:17" ht="15.75" customHeight="1" x14ac:dyDescent="0.25">
      <c r="A45" s="28"/>
      <c r="B45" s="28"/>
      <c r="C45" s="28"/>
      <c r="I45">
        <f>I43*10*13500</f>
        <v>3476250</v>
      </c>
      <c r="J45">
        <f>I43*145000</f>
        <v>3733750</v>
      </c>
    </row>
    <row r="46" spans="1:17" x14ac:dyDescent="0.25">
      <c r="A46" s="28"/>
      <c r="B46" s="28"/>
      <c r="C46" s="28"/>
      <c r="P46" t="s">
        <v>54</v>
      </c>
      <c r="Q46" t="s">
        <v>32</v>
      </c>
    </row>
    <row r="47" spans="1:17" x14ac:dyDescent="0.25">
      <c r="A47" s="28"/>
      <c r="B47" s="28"/>
      <c r="C47" s="28"/>
      <c r="Q47" t="s">
        <v>55</v>
      </c>
    </row>
    <row r="48" spans="1:17" x14ac:dyDescent="0.25">
      <c r="A48" s="28"/>
      <c r="B48" s="28"/>
      <c r="C48" s="28"/>
      <c r="Q48" t="s">
        <v>56</v>
      </c>
    </row>
    <row r="49" spans="1:11" x14ac:dyDescent="0.25">
      <c r="A49" s="44">
        <f>15500</f>
        <v>15500</v>
      </c>
      <c r="B49" s="44">
        <f>SUM(B29:B48)</f>
        <v>11</v>
      </c>
      <c r="C49" s="44">
        <f>SUM(C29:C48)</f>
        <v>10</v>
      </c>
      <c r="F49" s="30" t="s">
        <v>21</v>
      </c>
      <c r="G49" s="28" t="s">
        <v>29</v>
      </c>
      <c r="H49" s="28"/>
      <c r="K49">
        <v>2</v>
      </c>
    </row>
    <row r="50" spans="1:11" x14ac:dyDescent="0.25">
      <c r="A50" s="46">
        <v>268</v>
      </c>
      <c r="B50" s="46">
        <f>A49*B49</f>
        <v>170500</v>
      </c>
      <c r="C50" s="46">
        <f>A50*C49</f>
        <v>2680</v>
      </c>
      <c r="F50" s="30" t="s">
        <v>22</v>
      </c>
      <c r="G50" s="28" t="s">
        <v>30</v>
      </c>
      <c r="H50" s="28"/>
      <c r="K50">
        <v>2</v>
      </c>
    </row>
    <row r="51" spans="1:11" x14ac:dyDescent="0.25">
      <c r="F51" s="31" t="s">
        <v>23</v>
      </c>
      <c r="G51" s="28" t="s">
        <v>39</v>
      </c>
      <c r="H51" s="28"/>
      <c r="K51">
        <v>2</v>
      </c>
    </row>
    <row r="52" spans="1:11" x14ac:dyDescent="0.25">
      <c r="F52" s="30" t="s">
        <v>24</v>
      </c>
      <c r="G52" s="28" t="s">
        <v>31</v>
      </c>
      <c r="H52" s="28"/>
      <c r="K52">
        <v>2</v>
      </c>
    </row>
    <row r="53" spans="1:11" x14ac:dyDescent="0.25">
      <c r="F53" s="31" t="s">
        <v>25</v>
      </c>
      <c r="G53" s="28" t="s">
        <v>32</v>
      </c>
      <c r="H53" s="28"/>
      <c r="K53">
        <v>4</v>
      </c>
    </row>
    <row r="54" spans="1:11" x14ac:dyDescent="0.25">
      <c r="F54" s="32" t="s">
        <v>26</v>
      </c>
      <c r="G54" s="28" t="s">
        <v>33</v>
      </c>
      <c r="H54" s="28"/>
      <c r="K54">
        <v>6</v>
      </c>
    </row>
    <row r="55" spans="1:11" x14ac:dyDescent="0.25">
      <c r="F55" s="32" t="s">
        <v>27</v>
      </c>
      <c r="G55" s="28" t="s">
        <v>34</v>
      </c>
      <c r="H55" s="28"/>
    </row>
    <row r="56" spans="1:11" x14ac:dyDescent="0.25">
      <c r="F56" s="32"/>
      <c r="G56" s="28" t="s">
        <v>35</v>
      </c>
      <c r="H56" s="28"/>
    </row>
    <row r="57" spans="1:11" x14ac:dyDescent="0.25">
      <c r="F57" s="32"/>
      <c r="G57" s="28" t="s">
        <v>36</v>
      </c>
      <c r="H57" s="28"/>
    </row>
    <row r="58" spans="1:11" x14ac:dyDescent="0.25">
      <c r="F58" s="32"/>
      <c r="G58" s="28" t="s">
        <v>37</v>
      </c>
      <c r="H58" s="28"/>
    </row>
    <row r="62" spans="1:11" x14ac:dyDescent="0.25">
      <c r="A62" s="48" t="s">
        <v>4</v>
      </c>
      <c r="B62" s="48" t="s">
        <v>77</v>
      </c>
      <c r="C62" s="48" t="s">
        <v>2</v>
      </c>
      <c r="D62" s="48" t="s">
        <v>78</v>
      </c>
    </row>
    <row r="63" spans="1:11" x14ac:dyDescent="0.25">
      <c r="A63" s="50">
        <v>1</v>
      </c>
      <c r="B63" s="5" t="s">
        <v>28</v>
      </c>
      <c r="C63" s="4">
        <v>7</v>
      </c>
      <c r="D63" s="4">
        <v>19</v>
      </c>
    </row>
    <row r="64" spans="1:11" x14ac:dyDescent="0.25">
      <c r="A64" s="50">
        <v>2</v>
      </c>
      <c r="B64" s="5" t="s">
        <v>79</v>
      </c>
      <c r="C64" s="4">
        <v>6</v>
      </c>
      <c r="D64" s="4">
        <f>2+1.5+2+4+1.5+8</f>
        <v>19</v>
      </c>
    </row>
    <row r="65" spans="1:4" x14ac:dyDescent="0.25">
      <c r="A65" s="50">
        <v>3</v>
      </c>
      <c r="B65" s="49" t="s">
        <v>21</v>
      </c>
      <c r="C65" s="4">
        <v>1</v>
      </c>
      <c r="D65" s="6">
        <f>2*10</f>
        <v>20</v>
      </c>
    </row>
    <row r="66" spans="1:4" x14ac:dyDescent="0.25">
      <c r="A66" s="50">
        <v>4</v>
      </c>
      <c r="B66" s="49" t="s">
        <v>22</v>
      </c>
      <c r="C66" s="4">
        <v>1</v>
      </c>
      <c r="D66" s="6">
        <f>4*10</f>
        <v>40</v>
      </c>
    </row>
    <row r="67" spans="1:4" x14ac:dyDescent="0.25">
      <c r="A67" s="50">
        <v>5</v>
      </c>
      <c r="B67" s="28" t="s">
        <v>80</v>
      </c>
      <c r="C67" s="1">
        <v>1</v>
      </c>
      <c r="D67" s="6">
        <v>8</v>
      </c>
    </row>
    <row r="68" spans="1:4" x14ac:dyDescent="0.25">
      <c r="A68" s="50">
        <v>6</v>
      </c>
      <c r="B68" s="49" t="s">
        <v>24</v>
      </c>
      <c r="C68" s="4">
        <v>4</v>
      </c>
      <c r="D68" s="6">
        <f>4.5*10</f>
        <v>45</v>
      </c>
    </row>
    <row r="69" spans="1:4" x14ac:dyDescent="0.25">
      <c r="A69" s="50">
        <v>7</v>
      </c>
      <c r="B69" s="49" t="s">
        <v>23</v>
      </c>
      <c r="C69" s="4">
        <v>2</v>
      </c>
      <c r="D69" s="6">
        <v>50</v>
      </c>
    </row>
    <row r="70" spans="1:4" x14ac:dyDescent="0.25">
      <c r="A70" s="50">
        <v>8</v>
      </c>
      <c r="B70" s="49" t="s">
        <v>25</v>
      </c>
      <c r="C70" s="4">
        <v>1</v>
      </c>
      <c r="D70" s="6">
        <v>30</v>
      </c>
    </row>
    <row r="71" spans="1:4" x14ac:dyDescent="0.25">
      <c r="A71" s="50">
        <v>9</v>
      </c>
      <c r="B71" s="47" t="s">
        <v>38</v>
      </c>
      <c r="C71" s="4">
        <v>2</v>
      </c>
      <c r="D71" s="4">
        <f>8+4</f>
        <v>12</v>
      </c>
    </row>
    <row r="72" spans="1:4" x14ac:dyDescent="0.25">
      <c r="A72" s="50">
        <v>10</v>
      </c>
      <c r="B72" s="47" t="s">
        <v>74</v>
      </c>
      <c r="C72" s="4">
        <v>1</v>
      </c>
      <c r="D72" s="4">
        <v>4</v>
      </c>
    </row>
    <row r="73" spans="1:4" x14ac:dyDescent="0.25">
      <c r="A73" s="50">
        <v>11</v>
      </c>
      <c r="B73" s="5" t="s">
        <v>26</v>
      </c>
      <c r="C73" s="4"/>
      <c r="D73" s="4">
        <f>10+5+4+0.5+0.5+0.5+0.5</f>
        <v>21</v>
      </c>
    </row>
    <row r="74" spans="1:4" x14ac:dyDescent="0.25">
      <c r="A74" s="50"/>
      <c r="B74" s="5"/>
      <c r="C74" s="4"/>
      <c r="D74" s="4"/>
    </row>
    <row r="75" spans="1:4" x14ac:dyDescent="0.25">
      <c r="A75" s="50"/>
      <c r="B75" s="5"/>
      <c r="C75" s="4"/>
      <c r="D75" s="4"/>
    </row>
    <row r="76" spans="1:4" x14ac:dyDescent="0.25">
      <c r="D76">
        <f>SUM(D63:D75)</f>
        <v>268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7AA4-48FF-4FD6-AD94-73CCB449FBA4}">
  <dimension ref="G4:Q15"/>
  <sheetViews>
    <sheetView workbookViewId="0">
      <selection activeCell="J12" sqref="J12"/>
    </sheetView>
  </sheetViews>
  <sheetFormatPr defaultRowHeight="15" x14ac:dyDescent="0.25"/>
  <sheetData>
    <row r="4" spans="7:17" x14ac:dyDescent="0.25">
      <c r="G4">
        <v>12500</v>
      </c>
      <c r="I4">
        <v>12500</v>
      </c>
      <c r="J4">
        <f>I4/3</f>
        <v>4166.666666666667</v>
      </c>
      <c r="M4">
        <v>4500</v>
      </c>
      <c r="Q4">
        <v>25000</v>
      </c>
    </row>
    <row r="5" spans="7:17" x14ac:dyDescent="0.25">
      <c r="G5">
        <v>2000</v>
      </c>
      <c r="I5">
        <v>10000</v>
      </c>
      <c r="M5">
        <v>5000</v>
      </c>
    </row>
    <row r="6" spans="7:17" x14ac:dyDescent="0.25">
      <c r="G6">
        <v>5000</v>
      </c>
      <c r="I6">
        <v>25000</v>
      </c>
      <c r="M6">
        <v>2000</v>
      </c>
    </row>
    <row r="7" spans="7:17" x14ac:dyDescent="0.25">
      <c r="M7">
        <v>4000</v>
      </c>
    </row>
    <row r="8" spans="7:17" x14ac:dyDescent="0.25">
      <c r="G8">
        <f>SUM(G4:G7)</f>
        <v>19500</v>
      </c>
      <c r="I8">
        <f>SUM(I4:I7)</f>
        <v>47500</v>
      </c>
      <c r="J8">
        <f>I8/3</f>
        <v>15833.333333333334</v>
      </c>
      <c r="M8">
        <v>881</v>
      </c>
    </row>
    <row r="9" spans="7:17" x14ac:dyDescent="0.25">
      <c r="J9">
        <v>1000</v>
      </c>
    </row>
    <row r="10" spans="7:17" x14ac:dyDescent="0.25">
      <c r="H10">
        <f>G8/3</f>
        <v>6500</v>
      </c>
      <c r="J10">
        <f>J9+J8</f>
        <v>16833.333333333336</v>
      </c>
      <c r="K10">
        <v>34000</v>
      </c>
      <c r="M10">
        <f>SUM(M4:M9)</f>
        <v>16381</v>
      </c>
      <c r="O10">
        <v>38800</v>
      </c>
    </row>
    <row r="11" spans="7:17" x14ac:dyDescent="0.25">
      <c r="K11">
        <f>K10-J10</f>
        <v>17166.666666666664</v>
      </c>
      <c r="N11">
        <f>O10-M10</f>
        <v>22419</v>
      </c>
      <c r="P11">
        <f>O10-25000</f>
        <v>13800</v>
      </c>
    </row>
    <row r="12" spans="7:17" x14ac:dyDescent="0.25">
      <c r="G12">
        <v>28000</v>
      </c>
      <c r="H12">
        <f>H10*2</f>
        <v>13000</v>
      </c>
    </row>
    <row r="13" spans="7:17" x14ac:dyDescent="0.25">
      <c r="G13">
        <f>G12/3</f>
        <v>9333.3333333333339</v>
      </c>
      <c r="H13">
        <f>G13*2</f>
        <v>18666.666666666668</v>
      </c>
    </row>
    <row r="14" spans="7:17" x14ac:dyDescent="0.25">
      <c r="L14">
        <v>5000</v>
      </c>
    </row>
    <row r="15" spans="7:17" x14ac:dyDescent="0.25">
      <c r="L15">
        <v>3333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B34F-301B-4DB0-A640-9665AFAAD6A6}">
  <dimension ref="F1:N13"/>
  <sheetViews>
    <sheetView workbookViewId="0">
      <selection activeCell="N14" sqref="N14"/>
    </sheetView>
  </sheetViews>
  <sheetFormatPr defaultRowHeight="15" x14ac:dyDescent="0.25"/>
  <sheetData>
    <row r="1" spans="6:14" x14ac:dyDescent="0.25">
      <c r="F1">
        <v>4468</v>
      </c>
      <c r="K1" t="s">
        <v>65</v>
      </c>
      <c r="L1">
        <v>2115</v>
      </c>
      <c r="N1">
        <v>18000</v>
      </c>
    </row>
    <row r="2" spans="6:14" x14ac:dyDescent="0.25">
      <c r="F2">
        <v>4166</v>
      </c>
      <c r="K2" t="s">
        <v>68</v>
      </c>
      <c r="L2">
        <v>2200</v>
      </c>
      <c r="N2">
        <v>13000</v>
      </c>
    </row>
    <row r="3" spans="6:14" x14ac:dyDescent="0.25">
      <c r="F3">
        <f>F1-F2</f>
        <v>302</v>
      </c>
      <c r="K3" t="s">
        <v>69</v>
      </c>
      <c r="L3">
        <v>600</v>
      </c>
    </row>
    <row r="4" spans="6:14" x14ac:dyDescent="0.25">
      <c r="K4" t="s">
        <v>70</v>
      </c>
      <c r="L4">
        <v>1600</v>
      </c>
    </row>
    <row r="5" spans="6:14" x14ac:dyDescent="0.25">
      <c r="K5" t="s">
        <v>71</v>
      </c>
      <c r="L5">
        <v>1000</v>
      </c>
    </row>
    <row r="6" spans="6:14" x14ac:dyDescent="0.25">
      <c r="K6" t="s">
        <v>71</v>
      </c>
      <c r="L6">
        <v>200</v>
      </c>
    </row>
    <row r="7" spans="6:14" x14ac:dyDescent="0.25">
      <c r="L7">
        <v>100</v>
      </c>
      <c r="N7">
        <f>SUM(N1:N6)</f>
        <v>31000</v>
      </c>
    </row>
    <row r="8" spans="6:14" x14ac:dyDescent="0.25">
      <c r="L8">
        <v>430</v>
      </c>
    </row>
    <row r="9" spans="6:14" x14ac:dyDescent="0.25">
      <c r="K9" t="s">
        <v>72</v>
      </c>
      <c r="L9">
        <v>-1188</v>
      </c>
    </row>
    <row r="10" spans="6:14" x14ac:dyDescent="0.25">
      <c r="L10">
        <v>200</v>
      </c>
    </row>
    <row r="11" spans="6:14" x14ac:dyDescent="0.25">
      <c r="L11">
        <f>-1500+1386</f>
        <v>-114</v>
      </c>
    </row>
    <row r="12" spans="6:14" x14ac:dyDescent="0.25">
      <c r="L12">
        <f>SUM(L1:L11)</f>
        <v>7143</v>
      </c>
      <c r="M12">
        <f>N7-L12</f>
        <v>23857</v>
      </c>
      <c r="N12">
        <f>24000-M12</f>
        <v>143</v>
      </c>
    </row>
    <row r="13" spans="6:14" x14ac:dyDescent="0.25">
      <c r="N13">
        <f>N12+M12</f>
        <v>24000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8EA3-9FE8-43A2-A6E6-A2586D53FC05}">
  <dimension ref="L8:O15"/>
  <sheetViews>
    <sheetView workbookViewId="0">
      <selection activeCell="J9" sqref="J9"/>
    </sheetView>
  </sheetViews>
  <sheetFormatPr defaultRowHeight="15" x14ac:dyDescent="0.25"/>
  <sheetData>
    <row r="8" spans="12:15" x14ac:dyDescent="0.25">
      <c r="L8">
        <v>14324</v>
      </c>
      <c r="M8">
        <v>2.7</v>
      </c>
      <c r="N8">
        <f>M8*L8</f>
        <v>38674.800000000003</v>
      </c>
    </row>
    <row r="10" spans="12:15" x14ac:dyDescent="0.25">
      <c r="N10">
        <v>14324</v>
      </c>
      <c r="O10">
        <f>N10*3</f>
        <v>42972</v>
      </c>
    </row>
    <row r="11" spans="12:15" x14ac:dyDescent="0.25">
      <c r="N11">
        <v>2300</v>
      </c>
      <c r="O11">
        <f>N11*3</f>
        <v>6900</v>
      </c>
    </row>
    <row r="12" spans="12:15" x14ac:dyDescent="0.25">
      <c r="O12">
        <f>O11+O10</f>
        <v>49872</v>
      </c>
    </row>
    <row r="13" spans="12:15" x14ac:dyDescent="0.25">
      <c r="O13">
        <f>O12/100*3</f>
        <v>1496.16</v>
      </c>
    </row>
    <row r="14" spans="12:15" x14ac:dyDescent="0.25">
      <c r="O14">
        <f>O13+O12</f>
        <v>51368.160000000003</v>
      </c>
    </row>
    <row r="15" spans="12:15" x14ac:dyDescent="0.25">
      <c r="O15">
        <f>O14-N8</f>
        <v>12693.36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Sheet7</vt:lpstr>
      <vt:lpstr>Sheet5</vt:lpstr>
      <vt:lpstr>Sheet3</vt:lpstr>
      <vt:lpstr>Sheet6</vt:lpstr>
      <vt:lpstr>JWL</vt:lpstr>
      <vt:lpstr>Sheet9</vt:lpstr>
      <vt:lpstr>Sheet4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Bobade</dc:creator>
  <cp:lastModifiedBy>Shubhangi Bobade</cp:lastModifiedBy>
  <dcterms:created xsi:type="dcterms:W3CDTF">2025-05-08T12:30:18Z</dcterms:created>
  <dcterms:modified xsi:type="dcterms:W3CDTF">2026-02-10T14:25:14Z</dcterms:modified>
</cp:coreProperties>
</file>