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0ef0dab5894a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raisal Summary" sheetId="1" r:id="R4d68fa237ab342b9"/>
    <x:sheet xmlns:r="http://schemas.openxmlformats.org/officeDocument/2006/relationships" name="Contribution Data" sheetId="2" r:id="R81f23adc61074572"/>
    <x:sheet xmlns:r="http://schemas.openxmlformats.org/officeDocument/2006/relationships" name="Reference Lists" sheetId="3" r:id="R9121fae63d2f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-mmm-yyyy"/>
  </x:numFmts>
  <x:fonts count="18">
    <x:font>
      <x:sz val="11"/>
      <x:name val="Carlito"/>
    </x:font>
    <x:font>
      <x:b/>
      <x:sz val="20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b/>
      <x:sz val="10"/>
      <x:color rgb="FF475569"/>
      <x:name val="Carlito"/>
    </x:font>
    <x:font>
      <x:b/>
      <x:sz val="18"/>
      <x:color rgb="FF0F172A"/>
      <x:name val="Carlito"/>
    </x:font>
    <x:font>
      <x:sz val="10"/>
      <x:color rgb="FF92400E"/>
      <x:name val="Carlito"/>
    </x:font>
    <x:font>
      <x:b/>
      <x:sz val="20"/>
      <x:color rgb="FFFFFFFF"/>
      <x:name val="Aptos"/>
    </x:font>
    <x:font>
      <x:sz val="11"/>
      <x:name val="Aptos"/>
    </x:font>
    <x:font>
      <x:i/>
      <x:sz val="10"/>
      <x:color rgb="FF334155"/>
      <x:name val="Aptos"/>
    </x:font>
    <x:font>
      <x:b/>
      <x:sz val="11"/>
      <x:color rgb="FFFFFFFF"/>
      <x:name val="Aptos"/>
    </x:font>
    <x:font>
      <x:b/>
      <x:sz val="10"/>
      <x:color rgb="FF475569"/>
      <x:name val="Aptos"/>
    </x:font>
    <x:font>
      <x:b/>
      <x:sz val="18"/>
      <x:color rgb="FF0F172A"/>
      <x:name val="Aptos"/>
    </x:font>
    <x:font>
      <x:sz val="10"/>
      <x:color rgb="FF92400E"/>
      <x:name val="Aptos"/>
    </x:font>
    <x:font>
      <x:b/>
      <x:sz val="18"/>
      <x:color rgb="FFFFFFFF"/>
      <x:name val="Aptos Display"/>
    </x:font>
    <x:font>
      <x:i/>
      <x:sz val="10"/>
      <x:color rgb="FF475569"/>
      <x:name val="Carlito"/>
    </x:font>
    <x:font>
      <x:b/>
      <x:sz val="10"/>
      <x:color rgb="FFFFFFFF"/>
      <x:name val="Aptos"/>
    </x:font>
    <x:font>
      <x:sz val="10"/>
      <x:color rgb="FF334155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173B70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  <x:fill>
      <x:patternFill patternType="solid">
        <x:fgColor rgb="FFEFF6FF"/>
      </x:patternFill>
    </x:fill>
    <x:fill>
      <x:patternFill patternType="solid">
        <x:fgColor rgb="FFF0FDFA"/>
      </x:patternFill>
    </x:fill>
    <x:fill>
      <x:patternFill patternType="solid">
        <x:fgColor rgb="FFF5F3FF"/>
      </x:patternFill>
    </x:fill>
    <x:fill>
      <x:patternFill patternType="solid">
        <x:fgColor rgb="FFFEF2F2"/>
      </x:patternFill>
    </x:fill>
    <x:fill>
      <x:patternFill patternType="solid">
        <x:fgColor rgb="FFECFEFF"/>
      </x:patternFill>
    </x:fill>
    <x:fill>
      <x:patternFill patternType="solid">
        <x:fgColor rgb="FFF0FDF4"/>
      </x:patternFill>
    </x:fill>
    <x:fill>
      <x:patternFill patternType="solid">
        <x:fgColor rgb="FFFFFBEB"/>
      </x:patternFill>
    </x:fill>
    <x:fill>
      <x:patternFill patternType="solid">
        <x:fgColor rgb="FFEEF2FF"/>
      </x:patternFill>
    </x:fill>
  </x:fills>
  <x:borders count="48">
    <x:border/>
    <x:border>
      <x:left style="thin">
        <x:color rgb="FFBFDBFE"/>
      </x:left>
      <x:top style="thin">
        <x:color rgb="FFBFDBFE"/>
      </x:top>
    </x:border>
    <x:border>
      <x:right style="thin">
        <x:color rgb="FFBFDBFE"/>
      </x:right>
      <x:top style="thin">
        <x:color rgb="FFBFDBFE"/>
      </x:top>
    </x:border>
    <x:border>
      <x:left style="thin">
        <x:color rgb="FFBFDBFE"/>
      </x:left>
      <x:bottom style="thin">
        <x:color rgb="FFBFDBFE"/>
      </x:bottom>
    </x:border>
    <x:border>
      <x:right style="thin">
        <x:color rgb="FFBFDBFE"/>
      </x:right>
      <x:bottom style="thin">
        <x:color rgb="FFBFDBFE"/>
      </x:bottom>
    </x:border>
    <x:border>
      <x:left style="thin">
        <x:color rgb="FF99F6E4"/>
      </x:left>
      <x:top style="thin">
        <x:color rgb="FF99F6E4"/>
      </x:top>
    </x:border>
    <x:border>
      <x:right style="thin">
        <x:color rgb="FF99F6E4"/>
      </x:right>
      <x:top style="thin">
        <x:color rgb="FF99F6E4"/>
      </x:top>
    </x:border>
    <x:border>
      <x:left style="thin">
        <x:color rgb="FF99F6E4"/>
      </x:left>
      <x:bottom style="thin">
        <x:color rgb="FF99F6E4"/>
      </x:bottom>
    </x:border>
    <x:border>
      <x:right style="thin">
        <x:color rgb="FF99F6E4"/>
      </x:right>
      <x:bottom style="thin">
        <x:color rgb="FF99F6E4"/>
      </x:bottom>
    </x:border>
    <x:border>
      <x:left style="thin">
        <x:color rgb="FFDDD6FE"/>
      </x:left>
      <x:top style="thin">
        <x:color rgb="FFDDD6FE"/>
      </x:top>
    </x:border>
    <x:border>
      <x:right style="thin">
        <x:color rgb="FFDDD6FE"/>
      </x:right>
      <x:top style="thin">
        <x:color rgb="FFDDD6FE"/>
      </x:top>
    </x:border>
    <x:border>
      <x:left style="thin">
        <x:color rgb="FFDDD6FE"/>
      </x:left>
      <x:bottom style="thin">
        <x:color rgb="FFDDD6FE"/>
      </x:bottom>
    </x:border>
    <x:border>
      <x:right style="thin">
        <x:color rgb="FFDDD6FE"/>
      </x:right>
      <x:bottom style="thin">
        <x:color rgb="FFDDD6FE"/>
      </x:bottom>
    </x:border>
    <x:border>
      <x:left style="thin">
        <x:color rgb="FFFECACA"/>
      </x:left>
      <x:top style="thin">
        <x:color rgb="FFFECACA"/>
      </x:top>
    </x:border>
    <x:border>
      <x:right style="thin">
        <x:color rgb="FFFECACA"/>
      </x:right>
      <x:top style="thin">
        <x:color rgb="FFFECACA"/>
      </x:top>
    </x:border>
    <x:border>
      <x:left style="thin">
        <x:color rgb="FFFECACA"/>
      </x:left>
      <x:bottom style="thin">
        <x:color rgb="FFFECACA"/>
      </x:bottom>
    </x:border>
    <x:border>
      <x:right style="thin">
        <x:color rgb="FFFECACA"/>
      </x:right>
      <x:bottom style="thin">
        <x:color rgb="FFFECACA"/>
      </x:bottom>
    </x:border>
    <x:border>
      <x:left style="thin">
        <x:color rgb="FFA5F3FC"/>
      </x:left>
      <x:top style="thin">
        <x:color rgb="FFA5F3FC"/>
      </x:top>
    </x:border>
    <x:border>
      <x:right style="thin">
        <x:color rgb="FFA5F3FC"/>
      </x:right>
      <x:top style="thin">
        <x:color rgb="FFA5F3FC"/>
      </x:top>
    </x:border>
    <x:border>
      <x:left style="thin">
        <x:color rgb="FFA5F3FC"/>
      </x:left>
      <x:bottom style="thin">
        <x:color rgb="FFA5F3FC"/>
      </x:bottom>
    </x:border>
    <x:border>
      <x:right style="thin">
        <x:color rgb="FFA5F3FC"/>
      </x:right>
      <x:bottom style="thin">
        <x:color rgb="FFA5F3FC"/>
      </x:bottom>
    </x:border>
    <x:border>
      <x:left style="thin">
        <x:color rgb="FFBBF7D0"/>
      </x:left>
      <x:top style="thin">
        <x:color rgb="FFBBF7D0"/>
      </x:top>
    </x:border>
    <x:border>
      <x:right style="thin">
        <x:color rgb="FFBBF7D0"/>
      </x:right>
      <x:top style="thin">
        <x:color rgb="FFBBF7D0"/>
      </x:top>
    </x:border>
    <x:border>
      <x:left style="thin">
        <x:color rgb="FFBBF7D0"/>
      </x:left>
      <x:bottom style="thin">
        <x:color rgb="FFBBF7D0"/>
      </x:bottom>
    </x:border>
    <x:border>
      <x:right style="thin">
        <x:color rgb="FFBBF7D0"/>
      </x:right>
      <x:bottom style="thin">
        <x:color rgb="FFBBF7D0"/>
      </x:bottom>
    </x:border>
    <x:border>
      <x:left style="thin">
        <x:color rgb="FFFDE68A"/>
      </x:left>
      <x:top style="thin">
        <x:color rgb="FFFDE68A"/>
      </x:top>
    </x:border>
    <x:border>
      <x:right style="thin">
        <x:color rgb="FFFDE68A"/>
      </x:right>
      <x:top style="thin">
        <x:color rgb="FFFDE68A"/>
      </x:top>
    </x:border>
    <x:border>
      <x:left style="thin">
        <x:color rgb="FFFDE68A"/>
      </x:left>
      <x:bottom style="thin">
        <x:color rgb="FFFDE68A"/>
      </x:bottom>
    </x:border>
    <x:border>
      <x:right style="thin">
        <x:color rgb="FFFDE68A"/>
      </x:right>
      <x:bottom style="thin">
        <x:color rgb="FFFDE68A"/>
      </x:bottom>
    </x:border>
    <x:border>
      <x:left style="thin">
        <x:color rgb="FFC7D2FE"/>
      </x:left>
      <x:top style="thin">
        <x:color rgb="FFC7D2FE"/>
      </x:top>
    </x:border>
    <x:border>
      <x:right style="thin">
        <x:color rgb="FFC7D2FE"/>
      </x:right>
      <x:top style="thin">
        <x:color rgb="FFC7D2FE"/>
      </x:top>
    </x:border>
    <x:border>
      <x:left style="thin">
        <x:color rgb="FFC7D2FE"/>
      </x:left>
      <x:bottom style="thin">
        <x:color rgb="FFC7D2FE"/>
      </x:bottom>
    </x:border>
    <x:border>
      <x:right style="thin">
        <x:color rgb="FFC7D2FE"/>
      </x:right>
      <x:bottom style="thin">
        <x:color rgb="FFC7D2FE"/>
      </x:bottom>
    </x:border>
    <x:border>
      <x:left style="thin">
        <x:color rgb="FFFDE68A"/>
      </x:left>
      <x:top style="thin">
        <x:color rgb="FFFDE68A"/>
      </x:top>
      <x:bottom style="thin">
        <x:color rgb="FFFDE68A"/>
      </x:bottom>
    </x:border>
    <x:border>
      <x:top style="thin">
        <x:color rgb="FFFDE68A"/>
      </x:top>
      <x:bottom style="thin">
        <x:color rgb="FFFDE68A"/>
      </x:bottom>
    </x:border>
    <x:border>
      <x:right style="thin">
        <x:color rgb="FFFDE68A"/>
      </x:right>
      <x:top style="thin">
        <x:color rgb="FFFDE68A"/>
      </x:top>
      <x:bottom style="thin">
        <x:color rgb="FFFDE68A"/>
      </x:bottom>
    </x:border>
    <x:border>
      <x:right style="thin">
        <x:color rgb="FF5EEAD4"/>
      </x:right>
    </x:border>
    <x:border>
      <x:left style="thin">
        <x:color rgb="FF5EEAD4"/>
      </x:left>
      <x:right style="thin">
        <x:color rgb="FF5EEAD4"/>
      </x:right>
    </x:border>
    <x:border>
      <x:left style="thin">
        <x:color rgb="FF5EEAD4"/>
      </x:left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2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6" borderId="0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7" borderId="0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8" borderId="0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9" borderId="0" xfId="0" applyNumberFormat="1" applyFont="1" applyFill="1" applyBorder="1"/>
    <x:xf numFmtId="0" fontId="0" fillId="9" borderId="17" xfId="0" applyNumberFormat="1" applyFont="1" applyFill="1" applyBorder="1"/>
    <x:xf numFmtId="0" fontId="0" fillId="9" borderId="18" xfId="0" applyNumberFormat="1" applyFont="1" applyFill="1" applyBorder="1"/>
    <x:xf numFmtId="0" fontId="0" fillId="9" borderId="19" xfId="0" applyNumberFormat="1" applyFont="1" applyFill="1" applyBorder="1"/>
    <x:xf numFmtId="0" fontId="0" fillId="9" borderId="20" xfId="0" applyNumberFormat="1" applyFont="1" applyFill="1" applyBorder="1"/>
    <x:xf numFmtId="0" fontId="0" fillId="10" borderId="0" xfId="0" applyNumberFormat="1" applyFont="1" applyFill="1" applyBorder="1"/>
    <x:xf numFmtId="0" fontId="0" fillId="10" borderId="21" xfId="0" applyNumberFormat="1" applyFont="1" applyFill="1" applyBorder="1"/>
    <x:xf numFmtId="0" fontId="0" fillId="10" borderId="22" xfId="0" applyNumberFormat="1" applyFont="1" applyFill="1" applyBorder="1"/>
    <x:xf numFmtId="0" fontId="0" fillId="10" borderId="23" xfId="0" applyNumberFormat="1" applyFont="1" applyFill="1" applyBorder="1"/>
    <x:xf numFmtId="0" fontId="0" fillId="10" borderId="24" xfId="0" applyNumberFormat="1" applyFont="1" applyFill="1" applyBorder="1"/>
    <x:xf numFmtId="0" fontId="0" fillId="11" borderId="0" xfId="0" applyNumberFormat="1" applyFont="1" applyFill="1" applyBorder="1"/>
    <x:xf numFmtId="0" fontId="0" fillId="11" borderId="25" xfId="0" applyNumberFormat="1" applyFont="1" applyFill="1" applyBorder="1"/>
    <x:xf numFmtId="0" fontId="0" fillId="11" borderId="26" xfId="0" applyNumberFormat="1" applyFont="1" applyFill="1" applyBorder="1"/>
    <x:xf numFmtId="0" fontId="0" fillId="11" borderId="27" xfId="0" applyNumberFormat="1" applyFont="1" applyFill="1" applyBorder="1"/>
    <x:xf numFmtId="0" fontId="0" fillId="11" borderId="28" xfId="0" applyNumberFormat="1" applyFont="1" applyFill="1" applyBorder="1"/>
    <x:xf numFmtId="0" fontId="0" fillId="12" borderId="0" xfId="0" applyNumberFormat="1" applyFont="1" applyFill="1" applyBorder="1"/>
    <x:xf numFmtId="0" fontId="0" fillId="12" borderId="29" xfId="0" applyNumberFormat="1" applyFont="1" applyFill="1" applyBorder="1"/>
    <x:xf numFmtId="0" fontId="0" fillId="12" borderId="30" xfId="0" applyNumberFormat="1" applyFont="1" applyFill="1" applyBorder="1"/>
    <x:xf numFmtId="0" fontId="0" fillId="12" borderId="31" xfId="0" applyNumberFormat="1" applyFont="1" applyFill="1" applyBorder="1"/>
    <x:xf numFmtId="0" fontId="0" fillId="12" borderId="32" xfId="0" applyNumberFormat="1" applyFont="1" applyFill="1" applyBorder="1"/>
    <x:xf numFmtId="0" fontId="0" fillId="5" borderId="1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/>
    </x:xf>
    <x:xf numFmtId="0" fontId="0" fillId="6" borderId="6" xfId="0" applyNumberFormat="1" applyFont="1" applyFill="1" applyBorder="1" applyAlignment="1">
      <x:alignment vertical="center"/>
    </x:xf>
    <x:xf numFmtId="0" fontId="0" fillId="7" borderId="9" xfId="0" applyNumberFormat="1" applyFont="1" applyFill="1" applyBorder="1" applyAlignment="1">
      <x:alignment vertical="center"/>
    </x:xf>
    <x:xf numFmtId="0" fontId="0" fillId="7" borderId="10" xfId="0" applyNumberFormat="1" applyFont="1" applyFill="1" applyBorder="1" applyAlignment="1">
      <x:alignment vertical="center"/>
    </x:xf>
    <x:xf numFmtId="0" fontId="0" fillId="8" borderId="13" xfId="0" applyNumberFormat="1" applyFont="1" applyFill="1" applyBorder="1" applyAlignment="1">
      <x:alignment vertical="center"/>
    </x:xf>
    <x:xf numFmtId="0" fontId="0" fillId="8" borderId="14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6" borderId="7" xfId="0" applyNumberFormat="1" applyFont="1" applyFill="1" applyBorder="1" applyAlignment="1">
      <x:alignment vertical="center"/>
    </x:xf>
    <x:xf numFmtId="0" fontId="0" fillId="6" borderId="8" xfId="0" applyNumberFormat="1" applyFont="1" applyFill="1" applyBorder="1" applyAlignment="1">
      <x:alignment vertical="center"/>
    </x:xf>
    <x:xf numFmtId="0" fontId="0" fillId="7" borderId="11" xfId="0" applyNumberFormat="1" applyFont="1" applyFill="1" applyBorder="1" applyAlignment="1">
      <x:alignment vertical="center"/>
    </x:xf>
    <x:xf numFmtId="0" fontId="0" fillId="7" borderId="12" xfId="0" applyNumberFormat="1" applyFont="1" applyFill="1" applyBorder="1" applyAlignment="1">
      <x:alignment vertical="center"/>
    </x:xf>
    <x:xf numFmtId="0" fontId="0" fillId="8" borderId="15" xfId="0" applyNumberFormat="1" applyFont="1" applyFill="1" applyBorder="1" applyAlignment="1">
      <x:alignment vertical="center"/>
    </x:xf>
    <x:xf numFmtId="0" fontId="0" fillId="8" borderId="16" xfId="0" applyNumberFormat="1" applyFont="1" applyFill="1" applyBorder="1" applyAlignment="1">
      <x:alignment vertical="center"/>
    </x:xf>
    <x:xf numFmtId="0" fontId="0" fillId="9" borderId="17" xfId="0" applyNumberFormat="1" applyFont="1" applyFill="1" applyBorder="1" applyAlignment="1">
      <x:alignment vertical="center"/>
    </x:xf>
    <x:xf numFmtId="0" fontId="0" fillId="9" borderId="18" xfId="0" applyNumberFormat="1" applyFont="1" applyFill="1" applyBorder="1" applyAlignment="1">
      <x:alignment vertical="center"/>
    </x:xf>
    <x:xf numFmtId="0" fontId="0" fillId="10" borderId="21" xfId="0" applyNumberFormat="1" applyFont="1" applyFill="1" applyBorder="1" applyAlignment="1">
      <x:alignment vertical="center"/>
    </x:xf>
    <x:xf numFmtId="0" fontId="0" fillId="10" borderId="22" xfId="0" applyNumberFormat="1" applyFont="1" applyFill="1" applyBorder="1" applyAlignment="1">
      <x:alignment vertical="center"/>
    </x:xf>
    <x:xf numFmtId="0" fontId="0" fillId="11" borderId="25" xfId="0" applyNumberFormat="1" applyFont="1" applyFill="1" applyBorder="1" applyAlignment="1">
      <x:alignment vertical="center"/>
    </x:xf>
    <x:xf numFmtId="0" fontId="0" fillId="11" borderId="26" xfId="0" applyNumberFormat="1" applyFont="1" applyFill="1" applyBorder="1" applyAlignment="1">
      <x:alignment vertical="center"/>
    </x:xf>
    <x:xf numFmtId="0" fontId="0" fillId="12" borderId="29" xfId="0" applyNumberFormat="1" applyFont="1" applyFill="1" applyBorder="1" applyAlignment="1">
      <x:alignment vertical="center"/>
    </x:xf>
    <x:xf numFmtId="0" fontId="0" fillId="12" borderId="30" xfId="0" applyNumberFormat="1" applyFont="1" applyFill="1" applyBorder="1" applyAlignment="1">
      <x:alignment vertical="center"/>
    </x:xf>
    <x:xf numFmtId="0" fontId="0" fillId="9" borderId="19" xfId="0" applyNumberFormat="1" applyFont="1" applyFill="1" applyBorder="1" applyAlignment="1">
      <x:alignment vertical="center"/>
    </x:xf>
    <x:xf numFmtId="0" fontId="0" fillId="9" borderId="20" xfId="0" applyNumberFormat="1" applyFont="1" applyFill="1" applyBorder="1" applyAlignment="1">
      <x:alignment vertical="center"/>
    </x:xf>
    <x:xf numFmtId="0" fontId="0" fillId="10" borderId="23" xfId="0" applyNumberFormat="1" applyFont="1" applyFill="1" applyBorder="1" applyAlignment="1">
      <x:alignment vertical="center"/>
    </x:xf>
    <x:xf numFmtId="0" fontId="0" fillId="10" borderId="24" xfId="0" applyNumberFormat="1" applyFont="1" applyFill="1" applyBorder="1" applyAlignment="1">
      <x:alignment vertical="center"/>
    </x:xf>
    <x:xf numFmtId="0" fontId="0" fillId="11" borderId="27" xfId="0" applyNumberFormat="1" applyFont="1" applyFill="1" applyBorder="1" applyAlignment="1">
      <x:alignment vertical="center"/>
    </x:xf>
    <x:xf numFmtId="0" fontId="0" fillId="11" borderId="28" xfId="0" applyNumberFormat="1" applyFont="1" applyFill="1" applyBorder="1" applyAlignment="1">
      <x:alignment vertical="center"/>
    </x:xf>
    <x:xf numFmtId="0" fontId="0" fillId="12" borderId="31" xfId="0" applyNumberFormat="1" applyFont="1" applyFill="1" applyBorder="1" applyAlignment="1">
      <x:alignment vertical="center"/>
    </x:xf>
    <x:xf numFmtId="0" fontId="0" fillId="12" borderId="32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7" borderId="9" xfId="0" applyNumberFormat="1" applyFont="1" applyFill="1" applyBorder="1" applyAlignment="1">
      <x:alignment vertical="center" wrapText="1"/>
    </x:xf>
    <x:xf numFmtId="0" fontId="0" fillId="7" borderId="10" xfId="0" applyNumberFormat="1" applyFont="1" applyFill="1" applyBorder="1" applyAlignment="1">
      <x:alignment vertical="center" wrapText="1"/>
    </x:xf>
    <x:xf numFmtId="0" fontId="0" fillId="8" borderId="13" xfId="0" applyNumberFormat="1" applyFont="1" applyFill="1" applyBorder="1" applyAlignment="1">
      <x:alignment vertical="center" wrapText="1"/>
    </x:xf>
    <x:xf numFmtId="0" fontId="0" fillId="8" borderId="14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7" borderId="11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0" fontId="0" fillId="8" borderId="15" xfId="0" applyNumberFormat="1" applyFont="1" applyFill="1" applyBorder="1" applyAlignment="1">
      <x:alignment vertical="center" wrapText="1"/>
    </x:xf>
    <x:xf numFmtId="0" fontId="0" fillId="8" borderId="16" xfId="0" applyNumberFormat="1" applyFont="1" applyFill="1" applyBorder="1" applyAlignment="1">
      <x:alignment vertical="center" wrapText="1"/>
    </x:xf>
    <x:xf numFmtId="0" fontId="0" fillId="9" borderId="17" xfId="0" applyNumberFormat="1" applyFont="1" applyFill="1" applyBorder="1" applyAlignment="1">
      <x:alignment vertical="center" wrapText="1"/>
    </x:xf>
    <x:xf numFmtId="0" fontId="0" fillId="9" borderId="18" xfId="0" applyNumberFormat="1" applyFont="1" applyFill="1" applyBorder="1" applyAlignment="1">
      <x:alignment vertical="center" wrapText="1"/>
    </x:xf>
    <x:xf numFmtId="0" fontId="0" fillId="10" borderId="21" xfId="0" applyNumberFormat="1" applyFont="1" applyFill="1" applyBorder="1" applyAlignment="1">
      <x:alignment vertical="center" wrapText="1"/>
    </x:xf>
    <x:xf numFmtId="0" fontId="0" fillId="10" borderId="22" xfId="0" applyNumberFormat="1" applyFont="1" applyFill="1" applyBorder="1" applyAlignment="1">
      <x:alignment vertical="center" wrapText="1"/>
    </x:xf>
    <x:xf numFmtId="0" fontId="0" fillId="11" borderId="25" xfId="0" applyNumberFormat="1" applyFont="1" applyFill="1" applyBorder="1" applyAlignment="1">
      <x:alignment vertical="center" wrapText="1"/>
    </x:xf>
    <x:xf numFmtId="0" fontId="0" fillId="11" borderId="26" xfId="0" applyNumberFormat="1" applyFont="1" applyFill="1" applyBorder="1" applyAlignment="1">
      <x:alignment vertical="center" wrapText="1"/>
    </x:xf>
    <x:xf numFmtId="0" fontId="0" fillId="12" borderId="29" xfId="0" applyNumberFormat="1" applyFont="1" applyFill="1" applyBorder="1" applyAlignment="1">
      <x:alignment vertical="center" wrapText="1"/>
    </x:xf>
    <x:xf numFmtId="0" fontId="0" fillId="12" borderId="30" xfId="0" applyNumberFormat="1" applyFont="1" applyFill="1" applyBorder="1" applyAlignment="1">
      <x:alignment vertical="center" wrapText="1"/>
    </x:xf>
    <x:xf numFmtId="0" fontId="0" fillId="9" borderId="19" xfId="0" applyNumberFormat="1" applyFont="1" applyFill="1" applyBorder="1" applyAlignment="1">
      <x:alignment vertical="center" wrapText="1"/>
    </x:xf>
    <x:xf numFmtId="0" fontId="0" fillId="9" borderId="20" xfId="0" applyNumberFormat="1" applyFont="1" applyFill="1" applyBorder="1" applyAlignment="1">
      <x:alignment vertical="center" wrapText="1"/>
    </x:xf>
    <x:xf numFmtId="0" fontId="0" fillId="10" borderId="23" xfId="0" applyNumberFormat="1" applyFont="1" applyFill="1" applyBorder="1" applyAlignment="1">
      <x:alignment vertical="center" wrapText="1"/>
    </x:xf>
    <x:xf numFmtId="0" fontId="0" fillId="10" borderId="24" xfId="0" applyNumberFormat="1" applyFont="1" applyFill="1" applyBorder="1" applyAlignment="1">
      <x:alignment vertical="center" wrapText="1"/>
    </x:xf>
    <x:xf numFmtId="0" fontId="0" fillId="11" borderId="27" xfId="0" applyNumberFormat="1" applyFont="1" applyFill="1" applyBorder="1" applyAlignment="1">
      <x:alignment vertical="center" wrapText="1"/>
    </x:xf>
    <x:xf numFmtId="0" fontId="0" fillId="11" borderId="28" xfId="0" applyNumberFormat="1" applyFont="1" applyFill="1" applyBorder="1" applyAlignment="1">
      <x:alignment vertical="center" wrapText="1"/>
    </x:xf>
    <x:xf numFmtId="0" fontId="0" fillId="12" borderId="31" xfId="0" applyNumberFormat="1" applyFont="1" applyFill="1" applyBorder="1" applyAlignment="1">
      <x:alignment vertical="center" wrapText="1"/>
    </x:xf>
    <x:xf numFmtId="0" fontId="0" fillId="12" borderId="32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4" fillId="8" borderId="13" xfId="0" applyNumberFormat="1" applyFont="1" applyFill="1" applyBorder="1" applyAlignment="1">
      <x:alignment vertical="center" wrapText="1"/>
    </x:xf>
    <x:xf numFmtId="0" fontId="4" fillId="9" borderId="17" xfId="0" applyNumberFormat="1" applyFont="1" applyFill="1" applyBorder="1" applyAlignment="1">
      <x:alignment vertical="center" wrapText="1"/>
    </x:xf>
    <x:xf numFmtId="0" fontId="4" fillId="10" borderId="21" xfId="0" applyNumberFormat="1" applyFont="1" applyFill="1" applyBorder="1" applyAlignment="1">
      <x:alignment vertical="center" wrapText="1"/>
    </x:xf>
    <x:xf numFmtId="0" fontId="4" fillId="11" borderId="25" xfId="0" applyNumberFormat="1" applyFont="1" applyFill="1" applyBorder="1" applyAlignment="1">
      <x:alignment vertical="center" wrapText="1"/>
    </x:xf>
    <x:xf numFmtId="0" fontId="4" fillId="12" borderId="29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200" fontId="5" fillId="5" borderId="3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200" fontId="5" fillId="6" borderId="7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vertical="center" wrapText="1"/>
    </x:xf>
    <x:xf numFmtId="200" fontId="5" fillId="7" borderId="11" xfId="0" applyNumberFormat="1" applyFont="1" applyFill="1" applyBorder="1" applyAlignment="1">
      <x:alignment vertical="center" wrapText="1"/>
    </x:xf>
    <x:xf numFmtId="0" fontId="5" fillId="8" borderId="15" xfId="0" applyNumberFormat="1" applyFont="1" applyFill="1" applyBorder="1" applyAlignment="1">
      <x:alignment vertical="center" wrapText="1"/>
    </x:xf>
    <x:xf numFmtId="200" fontId="5" fillId="8" borderId="15" xfId="0" applyNumberFormat="1" applyFont="1" applyFill="1" applyBorder="1" applyAlignment="1">
      <x:alignment vertical="center" wrapText="1"/>
    </x:xf>
    <x:xf numFmtId="0" fontId="5" fillId="9" borderId="19" xfId="0" applyNumberFormat="1" applyFont="1" applyFill="1" applyBorder="1" applyAlignment="1">
      <x:alignment vertical="center" wrapText="1"/>
    </x:xf>
    <x:xf numFmtId="200" fontId="5" fillId="9" borderId="19" xfId="0" applyNumberFormat="1" applyFont="1" applyFill="1" applyBorder="1" applyAlignment="1">
      <x:alignment vertical="center" wrapText="1"/>
    </x:xf>
    <x:xf numFmtId="0" fontId="5" fillId="10" borderId="23" xfId="0" applyNumberFormat="1" applyFont="1" applyFill="1" applyBorder="1" applyAlignment="1">
      <x:alignment vertical="center" wrapText="1"/>
    </x:xf>
    <x:xf numFmtId="200" fontId="5" fillId="10" borderId="23" xfId="0" applyNumberFormat="1" applyFont="1" applyFill="1" applyBorder="1" applyAlignment="1">
      <x:alignment vertical="center" wrapText="1"/>
    </x:xf>
    <x:xf numFmtId="0" fontId="5" fillId="11" borderId="27" xfId="0" applyNumberFormat="1" applyFont="1" applyFill="1" applyBorder="1" applyAlignment="1">
      <x:alignment vertical="center" wrapText="1"/>
    </x:xf>
    <x:xf numFmtId="200" fontId="5" fillId="11" borderId="27" xfId="0" applyNumberFormat="1" applyFont="1" applyFill="1" applyBorder="1" applyAlignment="1">
      <x:alignment vertical="center" wrapText="1"/>
    </x:xf>
    <x:xf numFmtId="0" fontId="5" fillId="12" borderId="31" xfId="0" applyNumberFormat="1" applyFont="1" applyFill="1" applyBorder="1" applyAlignment="1">
      <x:alignment vertical="center" wrapText="1"/>
    </x:xf>
    <x:xf numFmtId="200" fontId="5" fillId="12" borderId="31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/>
    <x:xf numFmtId="0" fontId="6" fillId="11" borderId="33" xfId="0" applyNumberFormat="1" applyFont="1" applyFill="1" applyBorder="1"/>
    <x:xf numFmtId="0" fontId="6" fillId="11" borderId="34" xfId="0" applyNumberFormat="1" applyFont="1" applyFill="1" applyBorder="1"/>
    <x:xf numFmtId="0" fontId="6" fillId="11" borderId="35" xfId="0" applyNumberFormat="1" applyFont="1" applyFill="1" applyBorder="1"/>
    <x:xf numFmtId="0" fontId="6" fillId="11" borderId="33" xfId="0" applyNumberFormat="1" applyFont="1" applyFill="1" applyBorder="1" applyAlignment="1">
      <x:alignment wrapText="1"/>
    </x:xf>
    <x:xf numFmtId="0" fontId="6" fillId="11" borderId="34" xfId="0" applyNumberFormat="1" applyFont="1" applyFill="1" applyBorder="1" applyAlignment="1">
      <x:alignment wrapText="1"/>
    </x:xf>
    <x:xf numFmtId="0" fontId="6" fillId="11" borderId="35" xfId="0" applyNumberFormat="1" applyFont="1" applyFill="1" applyBorder="1" applyAlignment="1">
      <x:alignment wrapText="1"/>
    </x:xf>
    <x:xf numFmtId="0" fontId="6" fillId="11" borderId="33" xfId="0" applyNumberFormat="1" applyFont="1" applyFill="1" applyBorder="1" applyAlignment="1">
      <x:alignment vertical="center" wrapText="1"/>
    </x:xf>
    <x:xf numFmtId="0" fontId="6" fillId="11" borderId="34" xfId="0" applyNumberFormat="1" applyFont="1" applyFill="1" applyBorder="1" applyAlignment="1">
      <x:alignment vertical="center" wrapText="1"/>
    </x:xf>
    <x:xf numFmtId="0" fontId="6" fillId="11" borderId="35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/>
    </x:xf>
    <x:xf numFmtId="0" fontId="11" fillId="5" borderId="1" xfId="0" applyNumberFormat="1" applyFont="1" applyFill="1" applyBorder="1" applyAlignment="1">
      <x:alignment vertical="center" wrapText="1"/>
    </x:xf>
    <x:xf numFmtId="0" fontId="8" fillId="5" borderId="2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vertical="center" wrapText="1"/>
    </x:xf>
    <x:xf numFmtId="0" fontId="8" fillId="6" borderId="6" xfId="0" applyNumberFormat="1" applyFont="1" applyFill="1" applyBorder="1" applyAlignment="1">
      <x:alignment vertical="center" wrapText="1"/>
    </x:xf>
    <x:xf numFmtId="0" fontId="11" fillId="7" borderId="9" xfId="0" applyNumberFormat="1" applyFont="1" applyFill="1" applyBorder="1" applyAlignment="1">
      <x:alignment vertical="center" wrapText="1"/>
    </x:xf>
    <x:xf numFmtId="0" fontId="8" fillId="7" borderId="10" xfId="0" applyNumberFormat="1" applyFont="1" applyFill="1" applyBorder="1" applyAlignment="1">
      <x:alignment vertical="center" wrapText="1"/>
    </x:xf>
    <x:xf numFmtId="0" fontId="11" fillId="8" borderId="13" xfId="0" applyNumberFormat="1" applyFont="1" applyFill="1" applyBorder="1" applyAlignment="1">
      <x:alignment vertical="center" wrapText="1"/>
    </x:xf>
    <x:xf numFmtId="0" fontId="8" fillId="8" borderId="14" xfId="0" applyNumberFormat="1" applyFont="1" applyFill="1" applyBorder="1" applyAlignment="1">
      <x:alignment vertical="center" wrapText="1"/>
    </x:xf>
    <x:xf numFmtId="200" fontId="12" fillId="5" borderId="3" xfId="0" applyNumberFormat="1" applyFont="1" applyFill="1" applyBorder="1" applyAlignment="1">
      <x:alignment vertical="center" wrapText="1"/>
    </x:xf>
    <x:xf numFmtId="0" fontId="8" fillId="5" borderId="4" xfId="0" applyNumberFormat="1" applyFont="1" applyFill="1" applyBorder="1" applyAlignment="1">
      <x:alignment vertical="center" wrapText="1"/>
    </x:xf>
    <x:xf numFmtId="200" fontId="12" fillId="6" borderId="7" xfId="0" applyNumberFormat="1" applyFont="1" applyFill="1" applyBorder="1" applyAlignment="1">
      <x:alignment vertical="center" wrapText="1"/>
    </x:xf>
    <x:xf numFmtId="0" fontId="8" fillId="6" borderId="8" xfId="0" applyNumberFormat="1" applyFont="1" applyFill="1" applyBorder="1" applyAlignment="1">
      <x:alignment vertical="center" wrapText="1"/>
    </x:xf>
    <x:xf numFmtId="200" fontId="12" fillId="7" borderId="11" xfId="0" applyNumberFormat="1" applyFont="1" applyFill="1" applyBorder="1" applyAlignment="1">
      <x:alignment vertical="center" wrapText="1"/>
    </x:xf>
    <x:xf numFmtId="0" fontId="8" fillId="7" borderId="12" xfId="0" applyNumberFormat="1" applyFont="1" applyFill="1" applyBorder="1" applyAlignment="1">
      <x:alignment vertical="center" wrapText="1"/>
    </x:xf>
    <x:xf numFmtId="200" fontId="12" fillId="8" borderId="15" xfId="0" applyNumberFormat="1" applyFont="1" applyFill="1" applyBorder="1" applyAlignment="1">
      <x:alignment vertical="center" wrapText="1"/>
    </x:xf>
    <x:xf numFmtId="0" fontId="8" fillId="8" borderId="16" xfId="0" applyNumberFormat="1" applyFont="1" applyFill="1" applyBorder="1" applyAlignment="1">
      <x:alignment vertical="center" wrapText="1"/>
    </x:xf>
    <x:xf numFmtId="0" fontId="11" fillId="9" borderId="17" xfId="0" applyNumberFormat="1" applyFont="1" applyFill="1" applyBorder="1" applyAlignment="1">
      <x:alignment vertical="center" wrapText="1"/>
    </x:xf>
    <x:xf numFmtId="0" fontId="8" fillId="9" borderId="18" xfId="0" applyNumberFormat="1" applyFont="1" applyFill="1" applyBorder="1" applyAlignment="1">
      <x:alignment vertical="center" wrapText="1"/>
    </x:xf>
    <x:xf numFmtId="0" fontId="11" fillId="10" borderId="21" xfId="0" applyNumberFormat="1" applyFont="1" applyFill="1" applyBorder="1" applyAlignment="1">
      <x:alignment vertical="center" wrapText="1"/>
    </x:xf>
    <x:xf numFmtId="0" fontId="8" fillId="10" borderId="22" xfId="0" applyNumberFormat="1" applyFont="1" applyFill="1" applyBorder="1" applyAlignment="1">
      <x:alignment vertical="center" wrapText="1"/>
    </x:xf>
    <x:xf numFmtId="0" fontId="11" fillId="11" borderId="25" xfId="0" applyNumberFormat="1" applyFont="1" applyFill="1" applyBorder="1" applyAlignment="1">
      <x:alignment vertical="center" wrapText="1"/>
    </x:xf>
    <x:xf numFmtId="0" fontId="8" fillId="11" borderId="26" xfId="0" applyNumberFormat="1" applyFont="1" applyFill="1" applyBorder="1" applyAlignment="1">
      <x:alignment vertical="center" wrapText="1"/>
    </x:xf>
    <x:xf numFmtId="0" fontId="11" fillId="12" borderId="29" xfId="0" applyNumberFormat="1" applyFont="1" applyFill="1" applyBorder="1" applyAlignment="1">
      <x:alignment vertical="center" wrapText="1"/>
    </x:xf>
    <x:xf numFmtId="0" fontId="8" fillId="12" borderId="30" xfId="0" applyNumberFormat="1" applyFont="1" applyFill="1" applyBorder="1" applyAlignment="1">
      <x:alignment vertical="center" wrapText="1"/>
    </x:xf>
    <x:xf numFmtId="200" fontId="12" fillId="9" borderId="19" xfId="0" applyNumberFormat="1" applyFont="1" applyFill="1" applyBorder="1" applyAlignment="1">
      <x:alignment vertical="center" wrapText="1"/>
    </x:xf>
    <x:xf numFmtId="0" fontId="8" fillId="9" borderId="20" xfId="0" applyNumberFormat="1" applyFont="1" applyFill="1" applyBorder="1" applyAlignment="1">
      <x:alignment vertical="center" wrapText="1"/>
    </x:xf>
    <x:xf numFmtId="200" fontId="12" fillId="10" borderId="23" xfId="0" applyNumberFormat="1" applyFont="1" applyFill="1" applyBorder="1" applyAlignment="1">
      <x:alignment vertical="center" wrapText="1"/>
    </x:xf>
    <x:xf numFmtId="0" fontId="8" fillId="10" borderId="24" xfId="0" applyNumberFormat="1" applyFont="1" applyFill="1" applyBorder="1" applyAlignment="1">
      <x:alignment vertical="center" wrapText="1"/>
    </x:xf>
    <x:xf numFmtId="200" fontId="12" fillId="11" borderId="27" xfId="0" applyNumberFormat="1" applyFont="1" applyFill="1" applyBorder="1" applyAlignment="1">
      <x:alignment vertical="center" wrapText="1"/>
    </x:xf>
    <x:xf numFmtId="0" fontId="8" fillId="11" borderId="28" xfId="0" applyNumberFormat="1" applyFont="1" applyFill="1" applyBorder="1" applyAlignment="1">
      <x:alignment vertical="center" wrapText="1"/>
    </x:xf>
    <x:xf numFmtId="200" fontId="12" fillId="12" borderId="31" xfId="0" applyNumberFormat="1" applyFont="1" applyFill="1" applyBorder="1" applyAlignment="1">
      <x:alignment vertical="center" wrapText="1"/>
    </x:xf>
    <x:xf numFmtId="0" fontId="8" fillId="12" borderId="32" xfId="0" applyNumberFormat="1" applyFont="1" applyFill="1" applyBorder="1" applyAlignment="1">
      <x:alignment vertical="center" wrapText="1"/>
    </x:xf>
    <x:xf numFmtId="0" fontId="13" fillId="11" borderId="33" xfId="0" applyNumberFormat="1" applyFont="1" applyFill="1" applyBorder="1" applyAlignment="1">
      <x:alignment vertical="center" wrapText="1"/>
    </x:xf>
    <x:xf numFmtId="0" fontId="13" fillId="11" borderId="34" xfId="0" applyNumberFormat="1" applyFont="1" applyFill="1" applyBorder="1" applyAlignment="1">
      <x:alignment vertical="center" wrapText="1"/>
    </x:xf>
    <x:xf numFmtId="0" fontId="13" fillId="11" borderId="35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0" fontId="16" fillId="4" borderId="0" xfId="0" applyNumberFormat="1" applyFont="1" applyFill="1" applyBorder="1"/>
    <x:xf numFmtId="0" fontId="16" fillId="4" borderId="36" xfId="0" applyNumberFormat="1" applyFont="1" applyFill="1" applyBorder="1"/>
    <x:xf numFmtId="0" fontId="16" fillId="4" borderId="37" xfId="0" applyNumberFormat="1" applyFont="1" applyFill="1" applyBorder="1"/>
    <x:xf numFmtId="0" fontId="16" fillId="4" borderId="38" xfId="0" applyNumberFormat="1" applyFont="1" applyFill="1" applyBorder="1"/>
    <x:xf numFmtId="0" fontId="16" fillId="4" borderId="36" xfId="0" applyNumberFormat="1" applyFont="1" applyFill="1" applyBorder="1" applyAlignment="1">
      <x:alignment wrapText="1"/>
    </x:xf>
    <x:xf numFmtId="0" fontId="16" fillId="4" borderId="37" xfId="0" applyNumberFormat="1" applyFont="1" applyFill="1" applyBorder="1" applyAlignment="1">
      <x:alignment wrapText="1"/>
    </x:xf>
    <x:xf numFmtId="0" fontId="16" fillId="4" borderId="38" xfId="0" applyNumberFormat="1" applyFont="1" applyFill="1" applyBorder="1" applyAlignment="1">
      <x:alignment wrapText="1"/>
    </x:xf>
    <x:xf numFmtId="0" fontId="16" fillId="4" borderId="36" xfId="0" applyNumberFormat="1" applyFont="1" applyFill="1" applyBorder="1" applyAlignment="1">
      <x:alignment vertical="center" wrapText="1"/>
    </x:xf>
    <x:xf numFmtId="0" fontId="16" fillId="4" borderId="37" xfId="0" applyNumberFormat="1" applyFont="1" applyFill="1" applyBorder="1" applyAlignment="1">
      <x:alignment vertical="center" wrapText="1"/>
    </x:xf>
    <x:xf numFmtId="0" fontId="16" fillId="4" borderId="38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/>
    <x:xf numFmtId="0" fontId="17" fillId="0" borderId="39" xfId="0" applyNumberFormat="1" applyFont="1" applyFill="1" applyBorder="1"/>
    <x:xf numFmtId="0" fontId="17" fillId="0" borderId="40" xfId="0" applyNumberFormat="1" applyFont="1" applyFill="1" applyBorder="1"/>
    <x:xf numFmtId="0" fontId="17" fillId="0" borderId="41" xfId="0" applyNumberFormat="1" applyFont="1" applyFill="1" applyBorder="1"/>
    <x:xf numFmtId="0" fontId="17" fillId="0" borderId="42" xfId="0" applyNumberFormat="1" applyFont="1" applyFill="1" applyBorder="1"/>
    <x:xf numFmtId="0" fontId="17" fillId="0" borderId="43" xfId="0" applyNumberFormat="1" applyFont="1" applyFill="1" applyBorder="1"/>
    <x:xf numFmtId="0" fontId="17" fillId="0" borderId="44" xfId="0" applyNumberFormat="1" applyFont="1" applyFill="1" applyBorder="1"/>
    <x:xf numFmtId="0" fontId="17" fillId="0" borderId="45" xfId="0" applyNumberFormat="1" applyFont="1" applyFill="1" applyBorder="1"/>
    <x:xf numFmtId="0" fontId="17" fillId="0" borderId="46" xfId="0" applyNumberFormat="1" applyFont="1" applyFill="1" applyBorder="1"/>
    <x:xf numFmtId="0" fontId="17" fillId="0" borderId="47" xfId="0" applyNumberFormat="1" applyFont="1" applyFill="1" applyBorder="1"/>
    <x:xf numFmtId="0" fontId="17" fillId="0" borderId="39" xfId="0" applyNumberFormat="1" applyFont="1" applyFill="1" applyBorder="1" applyAlignment="1">
      <x:alignment wrapText="1"/>
    </x:xf>
    <x:xf numFmtId="0" fontId="17" fillId="0" borderId="40" xfId="0" applyNumberFormat="1" applyFont="1" applyFill="1" applyBorder="1" applyAlignment="1">
      <x:alignment wrapText="1"/>
    </x:xf>
    <x:xf numFmtId="0" fontId="17" fillId="0" borderId="41" xfId="0" applyNumberFormat="1" applyFont="1" applyFill="1" applyBorder="1" applyAlignment="1">
      <x:alignment wrapText="1"/>
    </x:xf>
    <x:xf numFmtId="0" fontId="17" fillId="0" borderId="42" xfId="0" applyNumberFormat="1" applyFont="1" applyFill="1" applyBorder="1" applyAlignment="1">
      <x:alignment wrapText="1"/>
    </x:xf>
    <x:xf numFmtId="0" fontId="17" fillId="0" borderId="43" xfId="0" applyNumberFormat="1" applyFont="1" applyFill="1" applyBorder="1" applyAlignment="1">
      <x:alignment wrapText="1"/>
    </x:xf>
    <x:xf numFmtId="0" fontId="17" fillId="0" borderId="44" xfId="0" applyNumberFormat="1" applyFont="1" applyFill="1" applyBorder="1" applyAlignment="1">
      <x:alignment wrapText="1"/>
    </x:xf>
    <x:xf numFmtId="0" fontId="17" fillId="0" borderId="45" xfId="0" applyNumberFormat="1" applyFont="1" applyFill="1" applyBorder="1" applyAlignment="1">
      <x:alignment wrapText="1"/>
    </x:xf>
    <x:xf numFmtId="0" fontId="17" fillId="0" borderId="46" xfId="0" applyNumberFormat="1" applyFont="1" applyFill="1" applyBorder="1" applyAlignment="1">
      <x:alignment wrapText="1"/>
    </x:xf>
    <x:xf numFmtId="0" fontId="17" fillId="0" borderId="47" xfId="0" applyNumberFormat="1" applyFont="1" applyFill="1" applyBorder="1" applyAlignment="1">
      <x:alignment wrapText="1"/>
    </x:xf>
    <x:xf numFmtId="0" fontId="17" fillId="0" borderId="39" xfId="0" applyNumberFormat="1" applyFont="1" applyFill="1" applyBorder="1" applyAlignment="1">
      <x:alignment vertical="top" wrapText="1"/>
    </x:xf>
    <x:xf numFmtId="0" fontId="17" fillId="0" borderId="40" xfId="0" applyNumberFormat="1" applyFont="1" applyFill="1" applyBorder="1" applyAlignment="1">
      <x:alignment vertical="top" wrapText="1"/>
    </x:xf>
    <x:xf numFmtId="0" fontId="17" fillId="0" borderId="41" xfId="0" applyNumberFormat="1" applyFont="1" applyFill="1" applyBorder="1" applyAlignment="1">
      <x:alignment vertical="top" wrapText="1"/>
    </x:xf>
    <x:xf numFmtId="0" fontId="17" fillId="0" borderId="42" xfId="0" applyNumberFormat="1" applyFont="1" applyFill="1" applyBorder="1" applyAlignment="1">
      <x:alignment vertical="top" wrapText="1"/>
    </x:xf>
    <x:xf numFmtId="0" fontId="17" fillId="0" borderId="43" xfId="0" applyNumberFormat="1" applyFont="1" applyFill="1" applyBorder="1" applyAlignment="1">
      <x:alignment vertical="top" wrapText="1"/>
    </x:xf>
    <x:xf numFmtId="0" fontId="17" fillId="0" borderId="44" xfId="0" applyNumberFormat="1" applyFont="1" applyFill="1" applyBorder="1" applyAlignment="1">
      <x:alignment vertical="top" wrapText="1"/>
    </x:xf>
    <x:xf numFmtId="0" fontId="17" fillId="0" borderId="45" xfId="0" applyNumberFormat="1" applyFont="1" applyFill="1" applyBorder="1" applyAlignment="1">
      <x:alignment vertical="top" wrapText="1"/>
    </x:xf>
    <x:xf numFmtId="0" fontId="17" fillId="0" borderId="46" xfId="0" applyNumberFormat="1" applyFont="1" applyFill="1" applyBorder="1" applyAlignment="1">
      <x:alignment vertical="top" wrapText="1"/>
    </x:xf>
    <x:xf numFmtId="0" fontId="17" fillId="0" borderId="47" xfId="0" applyNumberFormat="1" applyFont="1" applyFill="1" applyBorder="1" applyAlignment="1">
      <x:alignment vertical="top" wrapText="1"/>
    </x:xf>
    <x:xf numFmtId="201" fontId="17" fillId="0" borderId="40" xfId="0" applyNumberFormat="1" applyFont="1" applyFill="1" applyBorder="1" applyAlignment="1">
      <x:alignment vertical="top" wrapText="1"/>
    </x:xf>
    <x:xf numFmtId="201" fontId="17" fillId="0" borderId="43" xfId="0" applyNumberFormat="1" applyFont="1" applyFill="1" applyBorder="1" applyAlignment="1">
      <x:alignment vertical="top" wrapText="1"/>
    </x:xf>
    <x:xf numFmtId="201" fontId="17" fillId="0" borderId="4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10" fillId="2" borderId="0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F8FAFC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73965cf3747ff" /><Relationship Type="http://schemas.openxmlformats.org/officeDocument/2006/relationships/theme" Target="/xl/theme/theme1.xml" Id="R4875bda956ce4e68" /><Relationship Type="http://schemas.openxmlformats.org/officeDocument/2006/relationships/sharedStrings" Target="/xl/sharedStrings.xml" Id="Redd206c030944d3e" /><Relationship Type="http://schemas.openxmlformats.org/officeDocument/2006/relationships/worksheet" Target="/xl/worksheets/sheet1.xml" Id="R4d68fa237ab342b9" /><Relationship Type="http://schemas.openxmlformats.org/officeDocument/2006/relationships/worksheet" Target="/xl/worksheets/sheet2.xml" Id="R81f23adc61074572" /><Relationship Type="http://schemas.openxmlformats.org/officeDocument/2006/relationships/worksheet" Target="/xl/worksheets/sheet3.xml" Id="R9121fae63d2f4789" /></Relationships>
</file>

<file path=xl/tables/table1.xml><?xml version="1.0" encoding="utf-8"?>
<x:table xmlns:x="http://schemas.openxmlformats.org/spreadsheetml/2006/main" id="1" name="SearchDevelopmentContributions" displayName="SearchDevelopmentContributions" ref="A4:N14" headerRowCount="1" totalsRowCount="0" totalsRowShown="0">
  <x:tableColumns count="14">
    <x:tableColumn id="1" name="Developer Name"/>
    <x:tableColumn id="2" name="Page Name / Path"/>
    <x:tableColumn id="3" name="Module"/>
    <x:tableColumn id="4" name="Task Type"/>
    <x:tableColumn id="5" name="Developer Role Description"/>
    <x:tableColumn id="6" name="Purpose"/>
    <x:tableColumn id="7" name="Complexity"/>
    <x:tableColumn id="8" name="Development Date"/>
    <x:tableColumn id="9" name="Status"/>
    <x:tableColumn id="10" name="Technology / Area"/>
    <x:tableColumn id="11" name="Business Impact"/>
    <x:tableColumn id="12" name="Remarks"/>
    <x:tableColumn id="13" name="Major Business Impact"/>
    <x:tableColumn id="14" name="Source 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e8069998e74c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7" hidden="0" customWidth="1"/>
    <x:col min="3" max="3" width="21" hidden="0" customWidth="1"/>
    <x:col min="4" max="4" width="17" hidden="0" customWidth="1"/>
    <x:col min="5" max="5" width="21" hidden="0" customWidth="1"/>
    <x:col min="6" max="6" width="17" hidden="0" customWidth="1"/>
    <x:col min="7" max="7" width="21" hidden="0" customWidth="1"/>
    <x:col min="8" max="8" width="17" hidden="0" customWidth="1"/>
  </x:cols>
  <x:sheetData>
    <x:row r="1" ht="30" customHeight="1">
      <x:c r="A1" s="149" t="str">
        <x:v>DEVELOPMENT CONTRIBUTION REPORT</x:v>
      </x:c>
      <x:c r="B1" s="149"/>
      <x:c r="C1" s="149"/>
      <x:c r="D1" s="149"/>
      <x:c r="E1" s="149"/>
      <x:c r="F1" s="149"/>
      <x:c r="G1" s="149"/>
      <x:c r="H1" s="149"/>
    </x:row>
    <x:row r="2" ht="30" customHeight="1">
      <x:c r="A2" s="149"/>
      <x:c r="B2" s="149"/>
      <x:c r="C2" s="149"/>
      <x:c r="D2" s="149"/>
      <x:c r="E2" s="149"/>
      <x:c r="F2" s="149"/>
      <x:c r="G2" s="149"/>
      <x:c r="H2" s="149"/>
    </x:row>
    <x:row r="3">
      <x:c r="A3" s="150"/>
      <x:c r="B3" s="150"/>
      <x:c r="C3" s="150"/>
      <x:c r="D3" s="150"/>
      <x:c r="E3" s="150"/>
      <x:c r="F3" s="150"/>
      <x:c r="G3" s="150"/>
      <x:c r="H3" s="150"/>
    </x:row>
    <x:row r="4" ht="34" customHeight="1">
      <x:c r="A4" s="151" t="str">
        <x:v>Search folder contribution history | Source: repository Git commits | Review inferred role, complexity, purpose, and impact before HR submission</x:v>
      </x:c>
      <x:c r="B4" s="151"/>
      <x:c r="C4" s="151"/>
      <x:c r="D4" s="151"/>
      <x:c r="E4" s="151"/>
      <x:c r="F4" s="151"/>
      <x:c r="G4" s="151"/>
      <x:c r="H4" s="151"/>
    </x:row>
    <x:row r="5">
      <x:c r="A5" s="150"/>
      <x:c r="B5" s="150"/>
      <x:c r="C5" s="150"/>
      <x:c r="D5" s="150"/>
      <x:c r="E5" s="150"/>
      <x:c r="F5" s="150"/>
      <x:c r="G5" s="150"/>
      <x:c r="H5" s="150"/>
    </x:row>
    <x:row r="6" ht="25" customHeight="1">
      <x:c r="A6" s="152" t="str">
        <x:v>APPRAISAL HIGHLIGHTS</x:v>
      </x:c>
      <x:c r="B6" s="152"/>
      <x:c r="C6" s="152"/>
      <x:c r="D6" s="152"/>
      <x:c r="E6" s="152"/>
      <x:c r="F6" s="152"/>
      <x:c r="G6" s="152"/>
      <x:c r="H6" s="152"/>
    </x:row>
    <x:row r="7">
      <x:c r="A7" s="150"/>
      <x:c r="B7" s="150"/>
      <x:c r="C7" s="150"/>
      <x:c r="D7" s="150"/>
      <x:c r="E7" s="150"/>
      <x:c r="F7" s="150"/>
      <x:c r="G7" s="150"/>
      <x:c r="H7" s="150"/>
    </x:row>
    <x:row r="8" ht="30" customHeight="1">
      <x:c r="A8" s="153" t="str">
        <x:v>Total Tasks Completed</x:v>
      </x:c>
      <x:c r="B8" s="154"/>
      <x:c r="C8" s="155" t="str">
        <x:v>New Developments</x:v>
      </x:c>
      <x:c r="D8" s="156"/>
      <x:c r="E8" s="157" t="str">
        <x:v>Enhancements Implemented</x:v>
      </x:c>
      <x:c r="F8" s="158"/>
      <x:c r="G8" s="159" t="str">
        <x:v>Issues / Bugs Resolved</x:v>
      </x:c>
      <x:c r="H8" s="160"/>
    </x:row>
    <x:row r="9" ht="30" customHeight="1">
      <x:c r="A9" s="161" t="n">
        <x:f>COUNTIFS('Contribution Data'!$I$5:$I$204,"Completed")+COUNTIFS('Contribution Data'!$I$5:$I$204,"Live")</x:f>
        <x:v>10</x:v>
      </x:c>
      <x:c r="B9" s="162"/>
      <x:c r="C9" s="163" t="n">
        <x:f>COUNTIFS('Contribution Data'!$D$5:$D$204,"New Development",'Contribution Data'!$I$5:$I$204,"Completed")+COUNTIFS('Contribution Data'!$D$5:$D$204,"New Development",'Contribution Data'!$I$5:$I$204,"Live")</x:f>
        <x:v>3</x:v>
      </x:c>
      <x:c r="D9" s="164"/>
      <x:c r="E9" s="165" t="n">
        <x:f>COUNTIFS('Contribution Data'!$D$5:$D$204,"Enhancement",'Contribution Data'!$I$5:$I$204,"Completed")+COUNTIFS('Contribution Data'!$D$5:$D$204,"Enhancement",'Contribution Data'!$I$5:$I$204,"Live")</x:f>
        <x:v>4</x:v>
      </x:c>
      <x:c r="F9" s="166"/>
      <x:c r="G9" s="167" t="n">
        <x:f>COUNTIFS('Contribution Data'!$D$5:$D$204,"Bug Fix",'Contribution Data'!$I$5:$I$204,"Completed")+COUNTIFS('Contribution Data'!$D$5:$D$204,"Bug Fix",'Contribution Data'!$I$5:$I$204,"Live")</x:f>
        <x:v>0</x:v>
      </x:c>
      <x:c r="H9" s="168"/>
    </x:row>
    <x:row r="10" ht="30" customHeight="1">
      <x:c r="A10" s="169" t="str">
        <x:v>Reports Developed</x:v>
      </x:c>
      <x:c r="B10" s="170"/>
      <x:c r="C10" s="171" t="str">
        <x:v>Process Improvements</x:v>
      </x:c>
      <x:c r="D10" s="172"/>
      <x:c r="E10" s="173" t="str">
        <x:v>High-Complexity Tasks</x:v>
      </x:c>
      <x:c r="F10" s="174"/>
      <x:c r="G10" s="175" t="str">
        <x:v>Major Business Impact</x:v>
      </x:c>
      <x:c r="H10" s="176"/>
    </x:row>
    <x:row r="11" ht="30" customHeight="1">
      <x:c r="A11" s="177" t="n">
        <x:f>COUNTIFS('Contribution Data'!$D$5:$D$204,"Report Development",'Contribution Data'!$I$5:$I$204,"Completed")+COUNTIFS('Contribution Data'!$D$5:$D$204,"Report Development",'Contribution Data'!$I$5:$I$204,"Live")</x:f>
        <x:v>1</x:v>
      </x:c>
      <x:c r="B11" s="178"/>
      <x:c r="C11" s="179" t="n">
        <x:f>COUNTIFS('Contribution Data'!$D$5:$D$204,"Process Automation",'Contribution Data'!$I$5:$I$204,"Completed")+COUNTIFS('Contribution Data'!$D$5:$D$204,"Process Automation",'Contribution Data'!$I$5:$I$204,"Live")</x:f>
        <x:v>1</x:v>
      </x:c>
      <x:c r="D11" s="180"/>
      <x:c r="E11" s="181" t="n">
        <x:f>COUNTIFS('Contribution Data'!$G$5:$G$204,"High",'Contribution Data'!$I$5:$I$204,"Completed")+COUNTIFS('Contribution Data'!$G$5:$G$204,"High",'Contribution Data'!$I$5:$I$204,"Live")+COUNTIFS('Contribution Data'!$G$5:$G$204,"Critical",'Contribution Data'!$I$5:$I$204,"Completed")+COUNTIFS('Contribution Data'!$G$5:$G$204,"Critical",'Contribution Data'!$I$5:$I$204,"Live")</x:f>
        <x:v>9</x:v>
      </x:c>
      <x:c r="F11" s="182"/>
      <x:c r="G11" s="183" t="n">
        <x:f>COUNTIFS('Contribution Data'!$M$5:$M$204,"Yes",'Contribution Data'!$I$5:$I$204,"Completed")+COUNTIFS('Contribution Data'!$M$5:$M$204,"Yes",'Contribution Data'!$I$5:$I$204,"Live")</x:f>
        <x:v>7</x:v>
      </x:c>
      <x:c r="H11" s="184"/>
    </x:row>
    <x:row r="12">
      <x:c r="A12" s="150"/>
      <x:c r="B12" s="150"/>
      <x:c r="C12" s="150"/>
      <x:c r="D12" s="150"/>
      <x:c r="E12" s="150"/>
      <x:c r="F12" s="150"/>
      <x:c r="G12" s="150"/>
      <x:c r="H12" s="150"/>
    </x:row>
    <x:row r="13" ht="38" customHeight="1">
      <x:c r="A13" s="185" t="str">
        <x:v>This workbook is an initial evidence-based draft. Validate responsibilities and appraisal wording with each developer/manager before sharing with HR.</x:v>
      </x:c>
      <x:c r="B13" s="186"/>
      <x:c r="C13" s="186"/>
      <x:c r="D13" s="186"/>
      <x:c r="E13" s="186"/>
      <x:c r="F13" s="186"/>
      <x:c r="G13" s="186"/>
      <x:c r="H13" s="187"/>
    </x:row>
  </x:sheetData>
  <x:mergeCells>
    <x:mergeCell ref="A1:H2"/>
    <x:mergeCell ref="A4:H4"/>
    <x:mergeCell ref="A6:H6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4" hidden="0" customWidth="1"/>
    <x:col min="4" max="4" width="22" hidden="0" customWidth="1"/>
    <x:col min="5" max="5" width="42" hidden="0" customWidth="1"/>
    <x:col min="6" max="6" width="38" hidden="0" customWidth="1"/>
    <x:col min="7" max="7" width="13" hidden="0" customWidth="1"/>
    <x:col min="8" max="8" width="16" hidden="0" customWidth="1"/>
    <x:col min="9" max="9" width="14" hidden="0" customWidth="1"/>
    <x:col min="10" max="10" width="30" hidden="0" customWidth="1"/>
    <x:col min="11" max="11" width="42" hidden="0" customWidth="1"/>
    <x:col min="12" max="12" width="42" hidden="0" customWidth="1"/>
    <x:col min="13" max="13" width="20" hidden="0" customWidth="1"/>
    <x:col min="14" max="14" width="27" hidden="0" customWidth="1"/>
  </x:cols>
  <x:sheetData>
    <x:row r="1">
      <x:c r="A1" s="189" t="str">
        <x:v>SEARCH DEVELOPMENT CONTRIBUTION DATA</x:v>
      </x:c>
      <x:c r="B1" s="189"/>
      <x:c r="C1" s="189"/>
      <x:c r="D1" s="189"/>
      <x:c r="E1" s="189"/>
      <x:c r="F1" s="189"/>
      <x:c r="G1" s="189"/>
      <x:c r="H1" s="189"/>
      <x:c r="I1" s="189"/>
      <x:c r="J1" s="189"/>
      <x:c r="K1" s="189"/>
      <x:c r="L1" s="189"/>
      <x:c r="M1" s="189"/>
      <x:c r="N1" s="189"/>
    </x:row>
    <x:row r="2">
      <x:c r="A2" s="189"/>
      <x:c r="B2" s="189"/>
      <x:c r="C2" s="189"/>
      <x:c r="D2" s="189"/>
      <x:c r="E2" s="189"/>
      <x:c r="F2" s="189"/>
      <x:c r="G2" s="189"/>
      <x:c r="H2" s="189"/>
      <x:c r="I2" s="189"/>
      <x:c r="J2" s="189"/>
      <x:c r="K2" s="189"/>
      <x:c r="L2" s="189"/>
      <x:c r="M2" s="189"/>
      <x:c r="N2" s="189"/>
    </x:row>
    <x:row r="3">
      <x:c r="A3" s="191" t="str">
        <x:v>Editable HR-appraisal source data. Git-derived descriptions and classifications must be reviewed before formal submission.</x:v>
      </x:c>
      <x:c r="B3" s="191"/>
      <x:c r="C3" s="191"/>
      <x:c r="D3" s="191"/>
      <x:c r="E3" s="191"/>
      <x:c r="F3" s="191"/>
      <x:c r="G3" s="191"/>
      <x:c r="H3" s="191"/>
      <x:c r="I3" s="191"/>
      <x:c r="J3" s="191"/>
      <x:c r="K3" s="191"/>
      <x:c r="L3" s="191"/>
      <x:c r="M3" s="191"/>
      <x:c r="N3" s="191"/>
    </x:row>
    <x:row r="4">
      <x:c r="A4" s="200" t="str">
        <x:v>Developer Name</x:v>
      </x:c>
      <x:c r="B4" s="201" t="str">
        <x:v>Page Name / Path</x:v>
      </x:c>
      <x:c r="C4" s="201" t="str">
        <x:v>Module</x:v>
      </x:c>
      <x:c r="D4" s="201" t="str">
        <x:v>Task Type</x:v>
      </x:c>
      <x:c r="E4" s="201" t="str">
        <x:v>Developer Role Description</x:v>
      </x:c>
      <x:c r="F4" s="201" t="str">
        <x:v>Purpose</x:v>
      </x:c>
      <x:c r="G4" s="201" t="str">
        <x:v>Complexity</x:v>
      </x:c>
      <x:c r="H4" s="201" t="str">
        <x:v>Development Date</x:v>
      </x:c>
      <x:c r="I4" s="201" t="str">
        <x:v>Status</x:v>
      </x:c>
      <x:c r="J4" s="201" t="str">
        <x:v>Technology / Area</x:v>
      </x:c>
      <x:c r="K4" s="201" t="str">
        <x:v>Business Impact</x:v>
      </x:c>
      <x:c r="L4" s="201" t="str">
        <x:v>Remarks</x:v>
      </x:c>
      <x:c r="M4" s="201" t="str">
        <x:v>Major Business Impact</x:v>
      </x:c>
      <x:c r="N4" s="202" t="str">
        <x:v>Source Reference</x:v>
      </x:c>
    </x:row>
    <x:row r="5" ht="62" customHeight="1">
      <x:c r="A5" s="222" t="str">
        <x:v>Shubhangi</x:v>
      </x:c>
      <x:c r="B5" s="223" t="str">
        <x:v>Search/Costing.aspx; Search/ProcessOrders.aspx</x:v>
      </x:c>
      <x:c r="C5" s="223" t="str">
        <x:v>Search</x:v>
      </x:c>
      <x:c r="D5" s="223" t="str">
        <x:v>New Development</x:v>
      </x:c>
      <x:c r="E5" s="223" t="str">
        <x:v>Developed the Search costing page and integrated costing workflow changes with order processing.</x:v>
      </x:c>
      <x:c r="F5" s="223" t="str">
        <x:v>Provide a dedicated workflow for maintaining and reviewing costing information in Search operations.</x:v>
      </x:c>
      <x:c r="G5" s="223" t="str">
        <x:v>High</x:v>
      </x:c>
      <x:c r="H5" s="231" t="n">
        <x:v>46196</x:v>
      </x:c>
      <x:c r="I5" s="223" t="str">
        <x:v>Live</x:v>
      </x:c>
      <x:c r="J5" s="223" t="str">
        <x:v>ASP.NET, C#, JavaScript, SQL, UI/UX</x:v>
      </x:c>
      <x:c r="K5" s="223" t="str">
        <x:v>Centralized costing activity and reduced dependency on manual/offline tracking.</x:v>
      </x:c>
      <x:c r="L5" s="223" t="str">
        <x:v>Derived from Git commit 20a0263. Review classification and narrative before HR submission.</x:v>
      </x:c>
      <x:c r="M5" s="223" t="str">
        <x:v>Yes</x:v>
      </x:c>
      <x:c r="N5" s="224" t="str">
        <x:v>git:20a0263b3a3dc72</x:v>
      </x:c>
    </x:row>
    <x:row r="6" ht="62" customHeight="1">
      <x:c r="A6" s="225" t="str">
        <x:v>Shubhangi</x:v>
      </x:c>
      <x:c r="B6" s="226" t="str">
        <x:v>Search/SearchDashboard.aspx; Search/VMOrders.aspx</x:v>
      </x:c>
      <x:c r="C6" s="226" t="str">
        <x:v>Search</x:v>
      </x:c>
      <x:c r="D6" s="226" t="str">
        <x:v>New Development</x:v>
      </x:c>
      <x:c r="E6" s="226" t="str">
        <x:v>Implemented the Search operations dashboard and vendor-management order view, including server-side data integration.</x:v>
      </x:c>
      <x:c r="F6" s="226" t="str">
        <x:v>Give operational users a consolidated view of Search work and vendor order activity.</x:v>
      </x:c>
      <x:c r="G6" s="226" t="str">
        <x:v>Critical</x:v>
      </x:c>
      <x:c r="H6" s="232" t="n">
        <x:v>46228</x:v>
      </x:c>
      <x:c r="I6" s="226" t="str">
        <x:v>Live</x:v>
      </x:c>
      <x:c r="J6" s="226" t="str">
        <x:v>ASP.NET, C#, JavaScript, SQL, Dashboard, UI/UX</x:v>
      </x:c>
      <x:c r="K6" s="226" t="str">
        <x:v>Improved operational visibility and enabled faster monitoring of Search and vendor workloads.</x:v>
      </x:c>
      <x:c r="L6" s="226" t="str">
        <x:v>Derived from Git commit 1610d69. Review classification and narrative before HR submission.</x:v>
      </x:c>
      <x:c r="M6" s="226" t="str">
        <x:v>Yes</x:v>
      </x:c>
      <x:c r="N6" s="227" t="str">
        <x:v>git:1610d699f7f5d463</x:v>
      </x:c>
    </x:row>
    <x:row r="7" ht="62" customHeight="1">
      <x:c r="A7" s="225" t="str">
        <x:v>Shubhangi</x:v>
      </x:c>
      <x:c r="B7" s="226" t="str">
        <x:v>Search/VMReport.aspx; Search/VMOrders.Actions.cs; Search module pages</x:v>
      </x:c>
      <x:c r="C7" s="226" t="str">
        <x:v>OST</x:v>
      </x:c>
      <x:c r="D7" s="226" t="str">
        <x:v>New Development</x:v>
      </x:c>
      <x:c r="E7" s="226" t="str">
        <x:v>Developed vendor-management reporting and action handling while enhancing the broader OST/Search workflow across entry, allocation, processing, tracking, billing, and reporting pages.</x:v>
      </x:c>
      <x:c r="F7" s="226" t="str">
        <x:v>Expand the OST workflow with vendor operations and end-to-end Search process support.</x:v>
      </x:c>
      <x:c r="G7" s="226" t="str">
        <x:v>Critical</x:v>
      </x:c>
      <x:c r="H7" s="232" t="n">
        <x:v>46232</x:v>
      </x:c>
      <x:c r="I7" s="226" t="str">
        <x:v>Live</x:v>
      </x:c>
      <x:c r="J7" s="226" t="str">
        <x:v>ASP.NET, C#, JavaScript, SQL, Report, UI/UX</x:v>
      </x:c>
      <x:c r="K7" s="226" t="str">
        <x:v>Extended the operational workflow across multiple Search stages and introduced consolidated vendor reporting.</x:v>
      </x:c>
      <x:c r="L7" s="226" t="str">
        <x:v>Derived from Git commit 208c10c. Review classification and narrative before HR submission.</x:v>
      </x:c>
      <x:c r="M7" s="226" t="str">
        <x:v>Yes</x:v>
      </x:c>
      <x:c r="N7" s="227" t="str">
        <x:v>git:208c10ca17f56eb2</x:v>
      </x:c>
    </x:row>
    <x:row r="8" ht="62" customHeight="1">
      <x:c r="A8" s="225" t="str">
        <x:v>Shubhangi</x:v>
      </x:c>
      <x:c r="B8" s="226" t="str">
        <x:v>Search/SearchDashboard.aspx; Search/VMOrders.aspx; Search/VMReport.aspx</x:v>
      </x:c>
      <x:c r="C8" s="226" t="str">
        <x:v>OST</x:v>
      </x:c>
      <x:c r="D8" s="226" t="str">
        <x:v>Enhancement</x:v>
      </x:c>
      <x:c r="E8" s="226" t="str">
        <x:v>Enhanced OST dashboard, vendor-order actions, vendor reporting, and related server-side processing.</x:v>
      </x:c>
      <x:c r="F8" s="226" t="str">
        <x:v>Stabilize and extend the newly introduced OST/vendor-management workflow.</x:v>
      </x:c>
      <x:c r="G8" s="226" t="str">
        <x:v>High</x:v>
      </x:c>
      <x:c r="H8" s="232" t="n">
        <x:v>46233</x:v>
      </x:c>
      <x:c r="I8" s="226" t="str">
        <x:v>Live</x:v>
      </x:c>
      <x:c r="J8" s="226" t="str">
        <x:v>ASP.NET, C#, JavaScript, SQL, Report</x:v>
      </x:c>
      <x:c r="K8" s="226" t="str">
        <x:v>Improved usability and completeness of vendor order monitoring and OST reporting.</x:v>
      </x:c>
      <x:c r="L8" s="226" t="str">
        <x:v>Derived from Git commits 18639f7 and 048a357. Review classification and narrative before HR submission.</x:v>
      </x:c>
      <x:c r="M8" s="226" t="str">
        <x:v>No</x:v>
      </x:c>
      <x:c r="N8" s="227" t="str">
        <x:v>git:18639f7+048a357</x:v>
      </x:c>
    </x:row>
    <x:row r="9" ht="62" customHeight="1">
      <x:c r="A9" s="225" t="str">
        <x:v>Shubhangi</x:v>
      </x:c>
      <x:c r="B9" s="226" t="str">
        <x:v>Search/VerifyBilling.Email.cs; Search/VerifyBilling.aspx</x:v>
      </x:c>
      <x:c r="C9" s="226" t="str">
        <x:v>Billing</x:v>
      </x:c>
      <x:c r="D9" s="226" t="str">
        <x:v>Process Automation</x:v>
      </x:c>
      <x:c r="E9" s="226" t="str">
        <x:v>Implemented and integrated billing email generation within the Search verification workflow.</x:v>
      </x:c>
      <x:c r="F9" s="226" t="str">
        <x:v>Automate billing communication and package verified billing information for stakeholders.</x:v>
      </x:c>
      <x:c r="G9" s="226" t="str">
        <x:v>High</x:v>
      </x:c>
      <x:c r="H9" s="232" t="n">
        <x:v>46234</x:v>
      </x:c>
      <x:c r="I9" s="226" t="str">
        <x:v>Live</x:v>
      </x:c>
      <x:c r="J9" s="226" t="str">
        <x:v>C#, Email Template, ClosedXML, SQL, ASP.NET</x:v>
      </x:c>
      <x:c r="K9" s="226" t="str">
        <x:v>Reduced manual email preparation and standardized billing communication from the portal.</x:v>
      </x:c>
      <x:c r="L9" s="226" t="str">
        <x:v>Derived from Git commit d6e2eca. Review classification and narrative before HR submission.</x:v>
      </x:c>
      <x:c r="M9" s="226" t="str">
        <x:v>Yes</x:v>
      </x:c>
      <x:c r="N9" s="227" t="str">
        <x:v>git:d6e2eca9f1527159</x:v>
      </x:c>
    </x:row>
    <x:row r="10" ht="62" customHeight="1">
      <x:c r="A10" s="225" t="str">
        <x:v>Shubhangi</x:v>
      </x:c>
      <x:c r="B10" s="226" t="str">
        <x:v>Search/ProcessOrders.aspx; Search/Costing.aspx</x:v>
      </x:c>
      <x:c r="C10" s="226" t="str">
        <x:v>Search</x:v>
      </x:c>
      <x:c r="D10" s="226" t="str">
        <x:v>Enhancement</x:v>
      </x:c>
      <x:c r="E10" s="226" t="str">
        <x:v>Enhanced process-order handling and its integration with costing functions.</x:v>
      </x:c>
      <x:c r="F10" s="226" t="str">
        <x:v>Improve reliability and usability of the Search order-processing workflow.</x:v>
      </x:c>
      <x:c r="G10" s="226" t="str">
        <x:v>High</x:v>
      </x:c>
      <x:c r="H10" s="232" t="n">
        <x:v>46235</x:v>
      </x:c>
      <x:c r="I10" s="226" t="str">
        <x:v>Live</x:v>
      </x:c>
      <x:c r="J10" s="226" t="str">
        <x:v>ASP.NET, C#, JavaScript, SQL</x:v>
      </x:c>
      <x:c r="K10" s="226" t="str">
        <x:v>Streamlined order processing and improved continuity between operational and costing steps.</x:v>
      </x:c>
      <x:c r="L10" s="226" t="str">
        <x:v>Derived from Git commit 81dec19. Review classification and narrative before HR submission.</x:v>
      </x:c>
      <x:c r="M10" s="226" t="str">
        <x:v>No</x:v>
      </x:c>
      <x:c r="N10" s="227" t="str">
        <x:v>git:81dec19d89cc933c</x:v>
      </x:c>
    </x:row>
    <x:row r="11" ht="62" customHeight="1">
      <x:c r="A11" s="225" t="str">
        <x:v>Shubhangi</x:v>
      </x:c>
      <x:c r="B11" s="226" t="str">
        <x:v>Search/Costing.aspx; Search/ProjectTrackingReport.aspx; Search/VMOrders.aspx; Search/VerifyBilling.aspx</x:v>
      </x:c>
      <x:c r="C11" s="226" t="str">
        <x:v>Search</x:v>
      </x:c>
      <x:c r="D11" s="226" t="str">
        <x:v>UI Improvement</x:v>
      </x:c>
      <x:c r="E11" s="226" t="str">
        <x:v>Applied coordinated UI and workflow-stage improvements across key Search costing, tracking, vendor, and billing pages.</x:v>
      </x:c>
      <x:c r="F11" s="226" t="str">
        <x:v>Provide a more consistent Search-module experience and clearer workflow stages.</x:v>
      </x:c>
      <x:c r="G11" s="226" t="str">
        <x:v>High</x:v>
      </x:c>
      <x:c r="H11" s="232" t="n">
        <x:v>46246</x:v>
      </x:c>
      <x:c r="I11" s="226" t="str">
        <x:v>Live</x:v>
      </x:c>
      <x:c r="J11" s="226" t="str">
        <x:v>ASP.NET, C#, JavaScript, UI/UX, Report</x:v>
      </x:c>
      <x:c r="K11" s="226" t="str">
        <x:v>Improved consistency and reduced user friction across frequently used Search workflows.</x:v>
      </x:c>
      <x:c r="L11" s="226" t="str">
        <x:v>Derived from Git commit 8987bce. Review classification and narrative before HR submission.</x:v>
      </x:c>
      <x:c r="M11" s="226" t="str">
        <x:v>Yes</x:v>
      </x:c>
      <x:c r="N11" s="227" t="str">
        <x:v>git:8987bcef53db3d62</x:v>
      </x:c>
    </x:row>
    <x:row r="12" ht="62" customHeight="1">
      <x:c r="A12" s="225" t="str">
        <x:v>Shubhangi</x:v>
      </x:c>
      <x:c r="B12" s="226" t="str">
        <x:v>Search/VerifyBilling.aspx; Search/VerifyBilling.Email.cs</x:v>
      </x:c>
      <x:c r="C12" s="226" t="str">
        <x:v>Billing</x:v>
      </x:c>
      <x:c r="D12" s="226" t="str">
        <x:v>Enhancement</x:v>
      </x:c>
      <x:c r="E12" s="226" t="str">
        <x:v>Enhanced billing verification and email-configuration behavior across the Search billing workflow.</x:v>
      </x:c>
      <x:c r="F12" s="226" t="str">
        <x:v>Standardize verified billing communication and improve configuration flexibility.</x:v>
      </x:c>
      <x:c r="G12" s="226" t="str">
        <x:v>High</x:v>
      </x:c>
      <x:c r="H12" s="232" t="n">
        <x:v>46252</x:v>
      </x:c>
      <x:c r="I12" s="226" t="str">
        <x:v>Live</x:v>
      </x:c>
      <x:c r="J12" s="226" t="str">
        <x:v>C#, ASP.NET, Email Template, SQL, ClosedXML</x:v>
      </x:c>
      <x:c r="K12" s="226" t="str">
        <x:v>Improved billing-notification consistency and reduced manual intervention during verification.</x:v>
      </x:c>
      <x:c r="L12" s="226" t="str">
        <x:v>Derived from Git commits bf3f623 through 8b7ce2f. Review classification and narrative before HR submission.</x:v>
      </x:c>
      <x:c r="M12" s="226" t="str">
        <x:v>Yes</x:v>
      </x:c>
      <x:c r="N12" s="227" t="str">
        <x:v>git:billing-email-20260817-18</x:v>
      </x:c>
    </x:row>
    <x:row r="13" ht="62" customHeight="1">
      <x:c r="A13" s="225" t="str">
        <x:v>Shubhangi</x:v>
      </x:c>
      <x:c r="B13" s="226" t="str">
        <x:v>Search/VMOrders.aspx.cs</x:v>
      </x:c>
      <x:c r="C13" s="226" t="str">
        <x:v>OST</x:v>
      </x:c>
      <x:c r="D13" s="226" t="str">
        <x:v>Enhancement</x:v>
      </x:c>
      <x:c r="E13" s="226" t="str">
        <x:v>Enhanced vendor allocation and employee-related handling in the vendor order workflow.</x:v>
      </x:c>
      <x:c r="F13" s="226" t="str">
        <x:v>Improve assignment controls and supporting employee information for vendor-managed orders.</x:v>
      </x:c>
      <x:c r="G13" s="226" t="str">
        <x:v>Medium</x:v>
      </x:c>
      <x:c r="H13" s="232" t="n">
        <x:v>46254</x:v>
      </x:c>
      <x:c r="I13" s="226" t="str">
        <x:v>Live</x:v>
      </x:c>
      <x:c r="J13" s="226" t="str">
        <x:v>C#, ASP.NET, SQL</x:v>
      </x:c>
      <x:c r="K13" s="226" t="str">
        <x:v>Improved allocation accuracy and operational ownership of vendor orders.</x:v>
      </x:c>
      <x:c r="L13" s="226" t="str">
        <x:v>Derived from Git commits f9c157f and ee188d5. Review classification and narrative before HR submission.</x:v>
      </x:c>
      <x:c r="M13" s="226" t="str">
        <x:v>No</x:v>
      </x:c>
      <x:c r="N13" s="227" t="str">
        <x:v>git:f9c157f+ee188d5</x:v>
      </x:c>
    </x:row>
    <x:row r="14" ht="62" customHeight="1">
      <x:c r="A14" s="228" t="str">
        <x:v>ICG</x:v>
      </x:c>
      <x:c r="B14" s="229" t="str">
        <x:v>Search/SummaryReport.aspx</x:v>
      </x:c>
      <x:c r="C14" s="229" t="str">
        <x:v>OST</x:v>
      </x:c>
      <x:c r="D14" s="229" t="str">
        <x:v>Report Development</x:v>
      </x:c>
      <x:c r="E14" s="229" t="str">
        <x:v>Developed the OST Summary Report page and completed its report presentation and integration.</x:v>
      </x:c>
      <x:c r="F14" s="229" t="str">
        <x:v>Provide a consolidated OST summary for operational review and decision-making.</x:v>
      </x:c>
      <x:c r="G14" s="229" t="str">
        <x:v>High</x:v>
      </x:c>
      <x:c r="H14" s="233" t="n">
        <x:v>46262</x:v>
      </x:c>
      <x:c r="I14" s="229" t="str">
        <x:v>Live</x:v>
      </x:c>
      <x:c r="J14" s="229" t="str">
        <x:v>ASP.NET, C#, JavaScript, SQL, Report, UI/UX</x:v>
      </x:c>
      <x:c r="K14" s="229" t="str">
        <x:v>Enabled a consolidated view of OST results and reduced manual report preparation.</x:v>
      </x:c>
      <x:c r="L14" s="229" t="str">
        <x:v>Derived from Git commits 3291fcd and 12019c9. Review classification and narrative before HR submission.</x:v>
      </x:c>
      <x:c r="M14" s="229" t="str">
        <x:v>Yes</x:v>
      </x:c>
      <x:c r="N14" s="230" t="str">
        <x:v>git:3291fcd+12019c9</x:v>
      </x:c>
    </x:row>
  </x:sheetData>
  <x:mergeCells>
    <x:mergeCell ref="A1:N2"/>
    <x:mergeCell ref="A3:N3"/>
  </x:mergeCells>
  <x:conditionalFormatting sqref="A4:N14">
    <x:cfRule type="expression" dxfId="0" priority="1">
      <x:formula>MOD(ROW(),2)=0</x:formula>
    </x:cfRule>
  </x:conditionalFormatting>
  <x:conditionalFormatting sqref="G5:G204">
    <x:cfRule type="containsText" dxfId="1" priority="2" operator="containsText" text="Critical"/>
    <x:cfRule type="containsText" dxfId="2" priority="3" operator="containsText" text="High"/>
  </x:conditionalFormatting>
  <x:conditionalFormatting sqref="M5:M204">
    <x:cfRule type="containsText" dxfId="3" priority="4" operator="containsText" text="Yes"/>
  </x:conditionalFormatting>
  <x:dataValidations count="5">
    <x:dataValidation type="list" sqref="C5:C204">
      <x:formula1>'Reference Lists'!$A$2:$A$12</x:formula1>
    </x:dataValidation>
    <x:dataValidation type="list" sqref="D5:D204">
      <x:formula1>'Reference Lists'!$B$2:$B$11</x:formula1>
    </x:dataValidation>
    <x:dataValidation type="list" sqref="G5:G204">
      <x:formula1>'Reference Lists'!$C$2:$C$5</x:formula1>
    </x:dataValidation>
    <x:dataValidation type="list" sqref="I5:I204">
      <x:formula1>'Reference Lists'!$D$2:$D$7</x:formula1>
    </x:dataValidation>
    <x:dataValidation type="list" sqref="M5:M204">
      <x:formula1>'Reference Lists'!$E$2:$E$3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e8069998e74c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235" t="str">
        <x:v>Modules</x:v>
      </x:c>
      <x:c r="B1" s="235" t="str">
        <x:v>Task Types</x:v>
      </x:c>
      <x:c r="C1" s="235" t="str">
        <x:v>Complexity</x:v>
      </x:c>
      <x:c r="D1" s="235" t="str">
        <x:v>Status</x:v>
      </x:c>
      <x:c r="E1" s="235" t="str">
        <x:v>Major Impact</x:v>
      </x:c>
    </x:row>
    <x:row r="2">
      <x:c r="A2" s="150" t="str">
        <x:v>Admin</x:v>
      </x:c>
      <x:c r="B2" s="150" t="str">
        <x:v>New Development</x:v>
      </x:c>
      <x:c r="C2" s="150" t="str">
        <x:v>Low</x:v>
      </x:c>
      <x:c r="D2" s="150" t="str">
        <x:v>Pending</x:v>
      </x:c>
      <x:c r="E2" s="150" t="str">
        <x:v>Yes</x:v>
      </x:c>
    </x:row>
    <x:row r="3">
      <x:c r="A3" s="150" t="str">
        <x:v>Attendance</x:v>
      </x:c>
      <x:c r="B3" s="150" t="str">
        <x:v>Enhancement</x:v>
      </x:c>
      <x:c r="C3" s="150" t="str">
        <x:v>Medium</x:v>
      </x:c>
      <x:c r="D3" s="150" t="str">
        <x:v>In Progress</x:v>
      </x:c>
      <x:c r="E3" s="150" t="str">
        <x:v>No</x:v>
      </x:c>
    </x:row>
    <x:row r="4">
      <x:c r="A4" s="150" t="str">
        <x:v>Billing</x:v>
      </x:c>
      <x:c r="B4" s="150" t="str">
        <x:v>Bug Fix</x:v>
      </x:c>
      <x:c r="C4" s="150" t="str">
        <x:v>High</x:v>
      </x:c>
      <x:c r="D4" s="150" t="str">
        <x:v>Completed</x:v>
      </x:c>
      <x:c r="E4" s="150"/>
    </x:row>
    <x:row r="5">
      <x:c r="A5" s="150" t="str">
        <x:v>HR</x:v>
      </x:c>
      <x:c r="B5" s="150" t="str">
        <x:v>UI Improvement</x:v>
      </x:c>
      <x:c r="C5" s="150" t="str">
        <x:v>Critical</x:v>
      </x:c>
      <x:c r="D5" s="150" t="str">
        <x:v>Live</x:v>
      </x:c>
      <x:c r="E5" s="150"/>
    </x:row>
    <x:row r="6">
      <x:c r="A6" s="150" t="str">
        <x:v>OST</x:v>
      </x:c>
      <x:c r="B6" s="150" t="str">
        <x:v>Performance Optimization</x:v>
      </x:c>
      <x:c r="C6" s="150"/>
      <x:c r="D6" s="150" t="str">
        <x:v>On Hold</x:v>
      </x:c>
      <x:c r="E6" s="150"/>
    </x:row>
    <x:row r="7">
      <x:c r="A7" s="150" t="str">
        <x:v>Reports</x:v>
      </x:c>
      <x:c r="B7" s="150" t="str">
        <x:v>Report Development</x:v>
      </x:c>
      <x:c r="C7" s="150"/>
      <x:c r="D7" s="150" t="str">
        <x:v>Cancelled</x:v>
      </x:c>
      <x:c r="E7" s="150"/>
    </x:row>
    <x:row r="8">
      <x:c r="A8" s="150" t="str">
        <x:v>Search</x:v>
      </x:c>
      <x:c r="B8" s="150" t="str">
        <x:v>Database Change</x:v>
      </x:c>
      <x:c r="C8" s="150"/>
      <x:c r="D8" s="150"/>
      <x:c r="E8" s="150"/>
    </x:row>
    <x:row r="9">
      <x:c r="A9" s="150" t="str">
        <x:v>Tracking</x:v>
      </x:c>
      <x:c r="B9" s="150" t="str">
        <x:v>Process Automation</x:v>
      </x:c>
      <x:c r="C9" s="150"/>
      <x:c r="D9" s="150"/>
      <x:c r="E9" s="150"/>
    </x:row>
    <x:row r="10">
      <x:c r="A10" s="150" t="str">
        <x:v>US</x:v>
      </x:c>
      <x:c r="B10" s="150" t="str">
        <x:v>Email Template</x:v>
      </x:c>
      <x:c r="C10" s="150"/>
      <x:c r="D10" s="150"/>
      <x:c r="E10" s="150"/>
    </x:row>
    <x:row r="11">
      <x:c r="A11" s="150" t="str">
        <x:v>Vendor</x:v>
      </x:c>
      <x:c r="B11" s="150" t="str">
        <x:v>Other</x:v>
      </x:c>
      <x:c r="C11" s="150"/>
      <x:c r="D11" s="150"/>
      <x:c r="E11" s="150"/>
    </x:row>
    <x:row r="12">
      <x:c r="A12" s="150" t="str">
        <x:v>Other</x:v>
      </x:c>
      <x:c r="B12" s="150"/>
      <x:c r="C12" s="150"/>
      <x:c r="D12" s="150"/>
      <x:c r="E12" s="150"/>
    </x:row>
  </x:sheetData>
  <x:pageMargins left="0.7" right="0.7" top="0.75" bottom="0.75" header="0.3" footer="0.3"/>
</x:worksheet>
</file>